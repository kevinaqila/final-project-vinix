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" sheetId="1" r:id="rId4"/>
    <sheet state="visible" name="t" sheetId="2" r:id="rId5"/>
    <sheet state="visible" name="w" sheetId="3" r:id="rId6"/>
    <sheet state="visible" name="Adams Bohart" sheetId="4" r:id="rId7"/>
    <sheet state="visible" name="Yoon-Nelson" sheetId="5" r:id="rId8"/>
    <sheet state="visible" name="Thomas" sheetId="6" r:id="rId9"/>
  </sheets>
  <definedNames/>
  <calcPr/>
</workbook>
</file>

<file path=xl/sharedStrings.xml><?xml version="1.0" encoding="utf-8"?>
<sst xmlns="http://schemas.openxmlformats.org/spreadsheetml/2006/main" count="448" uniqueCount="60">
  <si>
    <r>
      <rPr>
        <rFont val="Times New Roman"/>
        <b/>
        <color theme="1"/>
        <sz val="11.0"/>
      </rPr>
      <t xml:space="preserve">Tabel 1. </t>
    </r>
    <r>
      <rPr>
        <rFont val="Times New Roman"/>
        <b val="0"/>
        <color theme="1"/>
        <sz val="11.0"/>
      </rPr>
      <t>Data Absorbansi Karbon Aktif merk X terhadap Logam Kromium, 
Bed Depth Kolom 20 cm, V = 4,5 ml/min</t>
    </r>
  </si>
  <si>
    <t>No</t>
  </si>
  <si>
    <t>Waktu
Operasi</t>
  </si>
  <si>
    <t>Konsentrasi
Awal</t>
  </si>
  <si>
    <t>Kosentrasi
setelah melewati
Kolom</t>
  </si>
  <si>
    <t>Volume Larutan
Krom yang 
Melewati Kolom</t>
  </si>
  <si>
    <t>Persentase
Penyisihan</t>
  </si>
  <si>
    <t>Ln
(Ct/Co)</t>
  </si>
  <si>
    <t>Ct/Co</t>
  </si>
  <si>
    <t>perc</t>
  </si>
  <si>
    <t>jam</t>
  </si>
  <si>
    <t>mg/liter</t>
  </si>
  <si>
    <t>%</t>
  </si>
  <si>
    <t>Warna Kuning = Titik Breaktrough</t>
  </si>
  <si>
    <t>Warna Orange = Titik Exhausted (Aliran Limbah ke Kolom Dihentikan)</t>
  </si>
  <si>
    <t>Perhitungan Model Yoon-Nelson</t>
  </si>
  <si>
    <t>Bed 
Height</t>
  </si>
  <si>
    <t>Volumetric 
Flowrate (Q)</t>
  </si>
  <si>
    <t>Kons. Cr(VI)</t>
  </si>
  <si>
    <t>Slope</t>
  </si>
  <si>
    <t>Intercept</t>
  </si>
  <si>
    <t>K YN</t>
  </si>
  <si>
    <t xml:space="preserve">τ </t>
  </si>
  <si>
    <t>τ Exp.</t>
  </si>
  <si>
    <t>R²</t>
  </si>
  <si>
    <t>cm</t>
  </si>
  <si>
    <t>liter/jam</t>
  </si>
  <si>
    <t>jam-1</t>
  </si>
  <si>
    <t>Perhitungan Model Adams-Bohart</t>
  </si>
  <si>
    <t>A Kolom</t>
  </si>
  <si>
    <t>Linier
Flowrate</t>
  </si>
  <si>
    <t>Co Cr</t>
  </si>
  <si>
    <t>Intersep</t>
  </si>
  <si>
    <t>Kab</t>
  </si>
  <si>
    <t>ml/min</t>
  </si>
  <si>
    <t>ml/jam</t>
  </si>
  <si>
    <t>cm2</t>
  </si>
  <si>
    <t>cm/jam</t>
  </si>
  <si>
    <t>mg/l</t>
  </si>
  <si>
    <t>L/mg.jam</t>
  </si>
  <si>
    <r>
      <rPr>
        <rFont val="Times New Roman"/>
        <b/>
        <color theme="1"/>
        <sz val="11.0"/>
      </rPr>
      <t xml:space="preserve">Tabel 2. </t>
    </r>
    <r>
      <rPr>
        <rFont val="Times New Roman"/>
        <b val="0"/>
        <color theme="1"/>
        <sz val="11.0"/>
      </rPr>
      <t>Data Absorbansi Karbon Aktif merk X terhadap Logam Kromium, 
Bed Depth Kolom 20 cm, V = 4,5 ml/min</t>
    </r>
  </si>
  <si>
    <t>Volume
Larutan Krom
yang Melewati
Kolom</t>
  </si>
  <si>
    <t>liter</t>
  </si>
  <si>
    <t>Perhitungan Model Thomas</t>
  </si>
  <si>
    <t>K th</t>
  </si>
  <si>
    <t>qt</t>
  </si>
  <si>
    <t>mg/g</t>
  </si>
  <si>
    <t>K AB</t>
  </si>
  <si>
    <r>
      <rPr>
        <rFont val="Times New Roman"/>
        <b/>
        <color theme="1"/>
        <sz val="11.0"/>
      </rPr>
      <t xml:space="preserve">Tabel 3. </t>
    </r>
    <r>
      <rPr>
        <rFont val="Times New Roman"/>
        <b val="0"/>
        <color theme="1"/>
        <sz val="11.0"/>
      </rPr>
      <t>Data Absorbansi Karbon Aktif merk X terhadap Logam Kromium, 
Bed Depth Kolom 20 cm, V = 4,5 ml/min</t>
    </r>
  </si>
  <si>
    <r>
      <rPr>
        <rFont val="Times New Roman"/>
        <b/>
        <color theme="1"/>
        <sz val="11.0"/>
      </rPr>
      <t xml:space="preserve">Tabel 1. </t>
    </r>
    <r>
      <rPr>
        <rFont val="Times New Roman"/>
        <b val="0"/>
        <color theme="1"/>
        <sz val="11.0"/>
      </rPr>
      <t>Data Absorbansi Karbon Aktif merk X terhadap Logam Kromium, 
Bed Depth Kolom 20 cm, V = 4,5 ml/min</t>
    </r>
  </si>
  <si>
    <r>
      <rPr>
        <rFont val="Times New Roman"/>
        <b/>
        <color theme="1"/>
        <sz val="11.0"/>
      </rPr>
      <t xml:space="preserve">Tabel 2. </t>
    </r>
    <r>
      <rPr>
        <rFont val="Times New Roman"/>
        <b val="0"/>
        <color theme="1"/>
        <sz val="11.0"/>
      </rPr>
      <t>Data Absorbansi Karbon Aktif merk X terhadap Logam Kromium, 
Bed Depth Kolom 20 cm, V = 4,5 ml/min</t>
    </r>
  </si>
  <si>
    <r>
      <rPr>
        <rFont val="Times New Roman"/>
        <b/>
        <color theme="1"/>
        <sz val="11.0"/>
      </rPr>
      <t xml:space="preserve">Tabel 3. </t>
    </r>
    <r>
      <rPr>
        <rFont val="Times New Roman"/>
        <b val="0"/>
        <color theme="1"/>
        <sz val="11.0"/>
      </rPr>
      <t>Data Absorbansi Karbon Aktif merk X terhadap Logam Kromium, 
Bed Depth Kolom 20 cm, V = 4,5 ml/min</t>
    </r>
  </si>
  <si>
    <t>Kosentrasi
setelah Melewati
Kolom</t>
  </si>
  <si>
    <r>
      <rPr>
        <rFont val="Times New Roman"/>
        <b/>
        <color theme="1"/>
        <sz val="11.0"/>
      </rPr>
      <t xml:space="preserve">Tabel 1. </t>
    </r>
    <r>
      <rPr>
        <rFont val="Times New Roman"/>
        <b val="0"/>
        <color theme="1"/>
        <sz val="11.0"/>
      </rPr>
      <t>Data Absorbansi Karbon Aktif merk X terhadap Logam Kromium, 
Bed Depth Kolom 20 cm, V = 4,5 ml/min</t>
    </r>
  </si>
  <si>
    <r>
      <rPr>
        <rFont val="Times New Roman"/>
        <b/>
        <color theme="1"/>
        <sz val="11.0"/>
      </rPr>
      <t xml:space="preserve">Tabel 2. </t>
    </r>
    <r>
      <rPr>
        <rFont val="Times New Roman"/>
        <b val="0"/>
        <color theme="1"/>
        <sz val="11.0"/>
      </rPr>
      <t>Data Absorbansi Karbon Aktif merk X terhadap Logam Kromium, 
Bed Depth Kolom 20 cm, V = 4,5 ml/min</t>
    </r>
  </si>
  <si>
    <r>
      <rPr>
        <rFont val="Times New Roman"/>
        <b/>
        <color theme="1"/>
        <sz val="11.0"/>
      </rPr>
      <t xml:space="preserve">Tabel 3. </t>
    </r>
    <r>
      <rPr>
        <rFont val="Times New Roman"/>
        <b val="0"/>
        <color theme="1"/>
        <sz val="11.0"/>
      </rPr>
      <t>Data Absorbansi Karbon Aktif merk X terhadap Logam Kromium, 
Bed Depth Kolom 20 cm, V = 4,5 ml/min</t>
    </r>
  </si>
  <si>
    <t>KYN</t>
  </si>
  <si>
    <t>τ  Exp</t>
  </si>
  <si>
    <t>jam^-1</t>
  </si>
  <si>
    <r>
      <rPr>
        <rFont val="Times New Roman"/>
        <b/>
        <color theme="1"/>
        <sz val="11.0"/>
      </rPr>
      <t xml:space="preserve">Tabel 1. </t>
    </r>
    <r>
      <rPr>
        <rFont val="Times New Roman"/>
        <b val="0"/>
        <color theme="1"/>
        <sz val="11.0"/>
      </rPr>
      <t>Data Absorbansi Karbon Aktif merk X terhadap Logam Kromium, 
Bed Depth Kolom 20 cm, V = 4,5 ml/min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</si>
</sst>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"/>
  </numFmts>
  <fonts count="9">
    <font>
      <sz val="10.0"/>
      <color rgb="FF000000"/>
      <name val="Arial"/>
      <scheme val="minor"/>
    </font>
    <font>
      <sz val="11.0"/>
      <color theme="1"/>
      <name val="Times New Roman"/>
    </font>
    <font>
      <b/>
      <sz val="11.0"/>
      <color theme="1"/>
      <name val="Times New Roman"/>
    </font>
    <font>
      <sz val="11.0"/>
      <color rgb="FF000000"/>
      <name val="Times New Roman"/>
    </font>
    <font>
      <sz val="11.0"/>
      <color rgb="FF000000"/>
      <name val="&quot;Times New Roman&quot;"/>
    </font>
    <font>
      <b/>
      <sz val="11.0"/>
      <color rgb="FF000000"/>
      <name val="Times New Roman"/>
    </font>
    <font>
      <b/>
      <sz val="11.0"/>
      <color rgb="FF000000"/>
      <name val="&quot;Times New Roman&quot;"/>
    </font>
    <font>
      <color theme="1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0"/>
    </xf>
    <xf borderId="2" fillId="0" fontId="4" numFmtId="0" xfId="0" applyAlignment="1" applyBorder="1" applyFont="1">
      <alignment horizontal="center" readingOrder="0" shrinkToFit="0" wrapText="0"/>
    </xf>
    <xf borderId="1" fillId="0" fontId="3" numFmtId="9" xfId="0" applyAlignment="1" applyBorder="1" applyFont="1" applyNumberForma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4" fontId="2" numFmtId="0" xfId="0" applyAlignment="1" applyBorder="1" applyFill="1" applyFont="1">
      <alignment horizontal="center" readingOrder="0" vertical="center"/>
    </xf>
    <xf borderId="1" fillId="4" fontId="5" numFmtId="0" xfId="0" applyAlignment="1" applyBorder="1" applyFont="1">
      <alignment horizontal="center" readingOrder="0" shrinkToFit="0" vertical="center" wrapText="0"/>
    </xf>
    <xf borderId="2" fillId="4" fontId="6" numFmtId="0" xfId="0" applyAlignment="1" applyBorder="1" applyFont="1">
      <alignment horizontal="center" readingOrder="0" shrinkToFit="0" wrapText="0"/>
    </xf>
    <xf borderId="1" fillId="4" fontId="5" numFmtId="9" xfId="0" applyAlignment="1" applyBorder="1" applyFont="1" applyNumberFormat="1">
      <alignment horizontal="center" readingOrder="0" shrinkToFit="0" vertical="center" wrapText="0"/>
    </xf>
    <xf borderId="1" fillId="4" fontId="2" numFmtId="164" xfId="0" applyAlignment="1" applyBorder="1" applyFont="1" applyNumberFormat="1">
      <alignment horizontal="center" vertical="center"/>
    </xf>
    <xf borderId="1" fillId="4" fontId="2" numFmtId="164" xfId="0" applyAlignment="1" applyBorder="1" applyFont="1" applyNumberFormat="1">
      <alignment horizontal="center" readingOrder="0" vertical="center"/>
    </xf>
    <xf borderId="1" fillId="5" fontId="2" numFmtId="0" xfId="0" applyAlignment="1" applyBorder="1" applyFill="1" applyFont="1">
      <alignment horizontal="center" readingOrder="0" vertical="center"/>
    </xf>
    <xf borderId="1" fillId="5" fontId="5" numFmtId="0" xfId="0" applyAlignment="1" applyBorder="1" applyFont="1">
      <alignment horizontal="center" readingOrder="0" shrinkToFit="0" vertical="center" wrapText="0"/>
    </xf>
    <xf borderId="2" fillId="5" fontId="6" numFmtId="0" xfId="0" applyAlignment="1" applyBorder="1" applyFont="1">
      <alignment horizontal="center" readingOrder="0" shrinkToFit="0" wrapText="0"/>
    </xf>
    <xf borderId="1" fillId="5" fontId="5" numFmtId="9" xfId="0" applyAlignment="1" applyBorder="1" applyFont="1" applyNumberFormat="1">
      <alignment horizontal="center" readingOrder="0" shrinkToFit="0" vertical="center" wrapText="0"/>
    </xf>
    <xf borderId="1" fillId="5" fontId="2" numFmtId="164" xfId="0" applyAlignment="1" applyBorder="1" applyFont="1" applyNumberFormat="1">
      <alignment horizontal="center" vertical="center"/>
    </xf>
    <xf borderId="1" fillId="5" fontId="2" numFmtId="164" xfId="0" applyAlignment="1" applyBorder="1" applyFont="1" applyNumberFormat="1">
      <alignment horizontal="center" readingOrder="0" vertical="center"/>
    </xf>
    <xf borderId="0" fillId="4" fontId="2" numFmtId="0" xfId="0" applyAlignment="1" applyFont="1">
      <alignment horizontal="left" readingOrder="0" vertical="center"/>
    </xf>
    <xf borderId="0" fillId="5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1" fillId="3" fontId="7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1" fillId="2" fontId="2" numFmtId="0" xfId="0" applyAlignment="1" applyBorder="1" applyFont="1">
      <alignment horizontal="center" readingOrder="0" vertical="center"/>
    </xf>
    <xf borderId="5" fillId="2" fontId="2" numFmtId="0" xfId="0" applyAlignment="1" applyBorder="1" applyFont="1">
      <alignment horizontal="center" vertical="center"/>
    </xf>
    <xf borderId="5" fillId="3" fontId="1" numFmtId="0" xfId="0" applyAlignment="1" applyBorder="1" applyFont="1">
      <alignment horizontal="center" vertical="center"/>
    </xf>
    <xf borderId="1" fillId="3" fontId="7" numFmtId="0" xfId="0" applyAlignment="1" applyBorder="1" applyFont="1">
      <alignment vertical="center"/>
    </xf>
    <xf borderId="5" fillId="0" fontId="7" numFmtId="0" xfId="0" applyAlignment="1" applyBorder="1" applyFont="1">
      <alignment vertical="center"/>
    </xf>
    <xf borderId="1" fillId="0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5" fillId="2" fontId="2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readingOrder="0" vertical="center"/>
    </xf>
    <xf borderId="5" fillId="3" fontId="1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65" xfId="0" applyAlignment="1" applyBorder="1" applyFont="1" applyNumberFormat="1">
      <alignment horizontal="center" vertical="center"/>
    </xf>
    <xf borderId="5" fillId="0" fontId="7" numFmtId="0" xfId="0" applyAlignment="1" applyBorder="1" applyFont="1">
      <alignment readingOrder="0" vertical="center"/>
    </xf>
    <xf borderId="1" fillId="0" fontId="1" numFmtId="165" xfId="0" applyAlignment="1" applyBorder="1" applyFont="1" applyNumberFormat="1">
      <alignment horizontal="center" vertical="center"/>
    </xf>
    <xf borderId="0" fillId="0" fontId="8" numFmtId="0" xfId="0" applyAlignment="1" applyFont="1">
      <alignment vertical="center"/>
    </xf>
    <xf borderId="1" fillId="6" fontId="2" numFmtId="0" xfId="0" applyAlignment="1" applyBorder="1" applyFill="1" applyFont="1">
      <alignment horizontal="center" readingOrder="0" vertical="center"/>
    </xf>
    <xf borderId="1" fillId="7" fontId="1" numFmtId="0" xfId="0" applyAlignment="1" applyBorder="1" applyFill="1" applyFont="1">
      <alignment horizontal="center" readingOrder="0" vertical="center"/>
    </xf>
    <xf borderId="3" fillId="6" fontId="2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 vertical="center"/>
    </xf>
    <xf borderId="4" fillId="7" fontId="1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" fillId="7" fontId="7" numFmtId="0" xfId="0" applyAlignment="1" applyBorder="1" applyFont="1">
      <alignment vertical="center"/>
    </xf>
    <xf borderId="1" fillId="6" fontId="2" numFmtId="0" xfId="0" applyAlignment="1" applyBorder="1" applyFont="1">
      <alignment horizontal="center" readingOrder="0" vertical="center"/>
    </xf>
    <xf borderId="5" fillId="6" fontId="2" numFmtId="0" xfId="0" applyAlignment="1" applyBorder="1" applyFont="1">
      <alignment horizontal="center" vertical="center"/>
    </xf>
    <xf borderId="5" fillId="7" fontId="1" numFmtId="0" xfId="0" applyAlignment="1" applyBorder="1" applyFont="1">
      <alignment horizontal="center" vertical="center"/>
    </xf>
    <xf borderId="1" fillId="7" fontId="7" numFmtId="0" xfId="0" applyAlignment="1" applyBorder="1" applyFont="1">
      <alignment vertical="center"/>
    </xf>
    <xf borderId="5" fillId="6" fontId="2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 readingOrder="0" vertical="center"/>
    </xf>
    <xf borderId="5" fillId="7" fontId="1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 vertical="center"/>
    </xf>
    <xf borderId="1" fillId="8" fontId="2" numFmtId="0" xfId="0" applyAlignment="1" applyBorder="1" applyFill="1" applyFont="1">
      <alignment horizontal="center" readingOrder="0" vertical="center"/>
    </xf>
    <xf borderId="1" fillId="9" fontId="1" numFmtId="0" xfId="0" applyAlignment="1" applyBorder="1" applyFill="1" applyFont="1">
      <alignment horizontal="center" readingOrder="0" vertical="center"/>
    </xf>
    <xf borderId="3" fillId="8" fontId="2" numFmtId="0" xfId="0" applyAlignment="1" applyBorder="1" applyFont="1">
      <alignment horizontal="center" vertical="center"/>
    </xf>
    <xf borderId="1" fillId="8" fontId="2" numFmtId="0" xfId="0" applyAlignment="1" applyBorder="1" applyFont="1">
      <alignment horizontal="center" vertical="center"/>
    </xf>
    <xf borderId="4" fillId="9" fontId="1" numFmtId="0" xfId="0" applyAlignment="1" applyBorder="1" applyFont="1">
      <alignment horizontal="center" vertical="center"/>
    </xf>
    <xf borderId="1" fillId="9" fontId="1" numFmtId="0" xfId="0" applyAlignment="1" applyBorder="1" applyFont="1">
      <alignment horizontal="center" vertical="center"/>
    </xf>
    <xf borderId="1" fillId="9" fontId="7" numFmtId="0" xfId="0" applyAlignment="1" applyBorder="1" applyFont="1">
      <alignment vertical="center"/>
    </xf>
    <xf borderId="1" fillId="8" fontId="2" numFmtId="0" xfId="0" applyAlignment="1" applyBorder="1" applyFont="1">
      <alignment horizontal="center" readingOrder="0" vertical="center"/>
    </xf>
    <xf borderId="5" fillId="8" fontId="2" numFmtId="0" xfId="0" applyAlignment="1" applyBorder="1" applyFont="1">
      <alignment horizontal="center" vertical="center"/>
    </xf>
    <xf borderId="5" fillId="9" fontId="1" numFmtId="0" xfId="0" applyAlignment="1" applyBorder="1" applyFont="1">
      <alignment horizontal="center" vertical="center"/>
    </xf>
    <xf borderId="1" fillId="9" fontId="7" numFmtId="0" xfId="0" applyAlignment="1" applyBorder="1" applyFont="1">
      <alignment vertical="center"/>
    </xf>
    <xf borderId="5" fillId="8" fontId="2" numFmtId="0" xfId="0" applyAlignment="1" applyBorder="1" applyFont="1">
      <alignment horizontal="center" readingOrder="0" vertical="center"/>
    </xf>
    <xf borderId="1" fillId="9" fontId="1" numFmtId="0" xfId="0" applyAlignment="1" applyBorder="1" applyFont="1">
      <alignment horizontal="center" readingOrder="0" vertical="center"/>
    </xf>
    <xf borderId="5" fillId="9" fontId="1" numFmtId="0" xfId="0" applyAlignment="1" applyBorder="1" applyFont="1">
      <alignment horizontal="center" readingOrder="0" vertical="center"/>
    </xf>
    <xf borderId="1" fillId="9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vertical="center"/>
    </xf>
    <xf borderId="6" fillId="0" fontId="1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7" numFmtId="0" xfId="0" applyAlignment="1" applyFont="1">
      <alignment readingOrder="0" vertical="center"/>
    </xf>
    <xf borderId="2" fillId="0" fontId="3" numFmtId="0" xfId="0" applyAlignment="1" applyBorder="1" applyFont="1">
      <alignment horizontal="center" readingOrder="0" shrinkToFit="0" vertical="center" wrapText="0"/>
    </xf>
    <xf borderId="2" fillId="4" fontId="5" numFmtId="0" xfId="0" applyAlignment="1" applyBorder="1" applyFont="1">
      <alignment horizontal="center" readingOrder="0" shrinkToFit="0" vertical="center" wrapText="0"/>
    </xf>
    <xf borderId="2" fillId="5" fontId="5" numFmtId="0" xfId="0" applyAlignment="1" applyBorder="1" applyFont="1">
      <alignment horizontal="center" readingOrder="0" shrinkToFit="0" vertical="center" wrapText="0"/>
    </xf>
    <xf borderId="0" fillId="4" fontId="2" numFmtId="0" xfId="0" applyAlignment="1" applyFon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6" fillId="9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1" fillId="0" fontId="1" numFmtId="1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/>
    </xf>
    <xf borderId="1" fillId="2" fontId="2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1" fillId="2" fontId="7" numFmtId="0" xfId="0" applyBorder="1" applyFont="1"/>
    <xf borderId="4" fillId="3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1" fillId="3" fontId="7" numFmtId="0" xfId="0" applyBorder="1" applyFont="1"/>
    <xf borderId="1" fillId="0" fontId="1" numFmtId="0" xfId="0" applyAlignment="1" applyBorder="1" applyFont="1">
      <alignment horizontal="center"/>
    </xf>
    <xf borderId="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0"/>
    <col customWidth="1" min="3" max="3" width="11.38"/>
    <col customWidth="1" min="5" max="5" width="13.25"/>
    <col customWidth="1" min="6" max="6" width="14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2" t="s">
        <v>0</v>
      </c>
      <c r="H2" s="1"/>
      <c r="I2" s="2"/>
      <c r="Q2" s="1"/>
      <c r="R2" s="2"/>
      <c r="Z2" s="1"/>
      <c r="AA2" s="1"/>
      <c r="AB2" s="1"/>
    </row>
    <row r="3">
      <c r="A3" s="1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2"/>
      <c r="K3" s="2"/>
      <c r="L3" s="2"/>
      <c r="M3" s="2"/>
      <c r="N3" s="2"/>
      <c r="O3" s="2"/>
      <c r="P3" s="2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1"/>
      <c r="B4" s="4" t="s">
        <v>9</v>
      </c>
      <c r="C4" s="4" t="s">
        <v>10</v>
      </c>
      <c r="D4" s="4" t="s">
        <v>11</v>
      </c>
      <c r="E4" s="4" t="s">
        <v>11</v>
      </c>
      <c r="F4" s="4"/>
      <c r="G4" s="4" t="s">
        <v>12</v>
      </c>
      <c r="H4" s="4"/>
      <c r="I4" s="4"/>
      <c r="J4" s="5"/>
      <c r="K4" s="5"/>
      <c r="L4" s="1"/>
      <c r="M4" s="1"/>
      <c r="N4" s="5"/>
      <c r="O4" s="5"/>
      <c r="P4" s="1"/>
      <c r="Q4" s="1"/>
      <c r="R4" s="5"/>
      <c r="S4" s="5"/>
      <c r="T4" s="5"/>
      <c r="U4" s="1"/>
      <c r="V4" s="1"/>
      <c r="W4" s="5"/>
      <c r="X4" s="5"/>
      <c r="Y4" s="5"/>
      <c r="Z4" s="1"/>
      <c r="AA4" s="1"/>
      <c r="AB4" s="1"/>
    </row>
    <row r="5">
      <c r="A5" s="1"/>
      <c r="B5" s="6">
        <v>1.0</v>
      </c>
      <c r="C5" s="6">
        <v>1.0</v>
      </c>
      <c r="D5" s="6">
        <v>10.0</v>
      </c>
      <c r="E5" s="7">
        <v>0.1232</v>
      </c>
      <c r="F5" s="8">
        <v>0.27</v>
      </c>
      <c r="G5" s="9">
        <v>0.99</v>
      </c>
      <c r="H5" s="10">
        <f t="shared" ref="H5:H26" si="1">LN(E5/D5)</f>
        <v>-4.396531321</v>
      </c>
      <c r="I5" s="11">
        <f t="shared" ref="I5:I26" si="2">E5/D5</f>
        <v>0.01232</v>
      </c>
      <c r="J5" s="5"/>
      <c r="K5" s="1"/>
      <c r="L5" s="1"/>
      <c r="M5" s="1"/>
      <c r="N5" s="1"/>
      <c r="O5" s="1"/>
      <c r="P5" s="1"/>
      <c r="Q5" s="1"/>
      <c r="R5" s="5"/>
      <c r="S5" s="5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6">
        <v>2.0</v>
      </c>
      <c r="C6" s="6">
        <v>2.0</v>
      </c>
      <c r="D6" s="6">
        <v>10.0</v>
      </c>
      <c r="E6" s="7">
        <v>0.2229</v>
      </c>
      <c r="F6" s="8">
        <v>0.54</v>
      </c>
      <c r="G6" s="9">
        <v>0.98</v>
      </c>
      <c r="H6" s="10">
        <f t="shared" si="1"/>
        <v>-3.803617132</v>
      </c>
      <c r="I6" s="11">
        <f t="shared" si="2"/>
        <v>0.02229</v>
      </c>
      <c r="J6" s="5"/>
      <c r="K6" s="1"/>
      <c r="L6" s="1"/>
      <c r="M6" s="1"/>
      <c r="N6" s="1"/>
      <c r="O6" s="1"/>
      <c r="P6" s="1"/>
      <c r="Q6" s="1"/>
      <c r="R6" s="5"/>
      <c r="S6" s="5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6">
        <v>3.0</v>
      </c>
      <c r="C7" s="6">
        <v>3.0</v>
      </c>
      <c r="D7" s="6">
        <v>10.0</v>
      </c>
      <c r="E7" s="7">
        <v>0.3133</v>
      </c>
      <c r="F7" s="8">
        <v>0.81</v>
      </c>
      <c r="G7" s="9">
        <v>0.97</v>
      </c>
      <c r="H7" s="10">
        <f t="shared" si="1"/>
        <v>-3.463179174</v>
      </c>
      <c r="I7" s="11">
        <f t="shared" si="2"/>
        <v>0.03133</v>
      </c>
      <c r="J7" s="5"/>
      <c r="K7" s="1"/>
      <c r="L7" s="1"/>
      <c r="M7" s="1"/>
      <c r="N7" s="1"/>
      <c r="O7" s="1"/>
      <c r="P7" s="1"/>
      <c r="Q7" s="1"/>
      <c r="R7" s="5"/>
      <c r="S7" s="5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6">
        <v>4.0</v>
      </c>
      <c r="C8" s="6">
        <v>4.0</v>
      </c>
      <c r="D8" s="6">
        <v>10.0</v>
      </c>
      <c r="E8" s="7">
        <v>0.3435</v>
      </c>
      <c r="F8" s="8">
        <v>1.08</v>
      </c>
      <c r="G8" s="9">
        <v>0.97</v>
      </c>
      <c r="H8" s="10">
        <f t="shared" si="1"/>
        <v>-3.37115326</v>
      </c>
      <c r="I8" s="11">
        <f t="shared" si="2"/>
        <v>0.03435</v>
      </c>
      <c r="J8" s="5"/>
      <c r="K8" s="1"/>
      <c r="L8" s="1"/>
      <c r="M8" s="1"/>
      <c r="N8" s="1"/>
      <c r="O8" s="1"/>
      <c r="P8" s="1"/>
      <c r="Q8" s="1"/>
      <c r="R8" s="5"/>
      <c r="S8" s="5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6">
        <v>5.0</v>
      </c>
      <c r="C9" s="6">
        <v>5.0</v>
      </c>
      <c r="D9" s="6">
        <v>10.0</v>
      </c>
      <c r="E9" s="7">
        <v>0.2948</v>
      </c>
      <c r="F9" s="8">
        <v>1.35</v>
      </c>
      <c r="G9" s="9">
        <v>0.97</v>
      </c>
      <c r="H9" s="10">
        <f t="shared" si="1"/>
        <v>-3.524043212</v>
      </c>
      <c r="I9" s="11">
        <f t="shared" si="2"/>
        <v>0.02948</v>
      </c>
      <c r="J9" s="5"/>
      <c r="K9" s="1"/>
      <c r="L9" s="1"/>
      <c r="M9" s="1"/>
      <c r="N9" s="1"/>
      <c r="O9" s="1"/>
      <c r="P9" s="1"/>
      <c r="Q9" s="1"/>
      <c r="R9" s="5"/>
      <c r="S9" s="5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6">
        <v>6.0</v>
      </c>
      <c r="C10" s="6">
        <v>6.0</v>
      </c>
      <c r="D10" s="6">
        <v>10.0</v>
      </c>
      <c r="E10" s="7">
        <v>0.3597</v>
      </c>
      <c r="F10" s="8">
        <v>1.62</v>
      </c>
      <c r="G10" s="9">
        <v>0.96</v>
      </c>
      <c r="H10" s="10">
        <f t="shared" si="1"/>
        <v>-3.325070021</v>
      </c>
      <c r="I10" s="11">
        <f t="shared" si="2"/>
        <v>0.03597</v>
      </c>
      <c r="J10" s="5"/>
      <c r="K10" s="1"/>
      <c r="L10" s="1"/>
      <c r="M10" s="1"/>
      <c r="N10" s="1"/>
      <c r="O10" s="1"/>
      <c r="P10" s="1"/>
      <c r="Q10" s="1"/>
      <c r="R10" s="5"/>
      <c r="S10" s="5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6">
        <v>7.0</v>
      </c>
      <c r="C11" s="6">
        <v>7.0</v>
      </c>
      <c r="D11" s="6">
        <v>10.0</v>
      </c>
      <c r="E11" s="7">
        <v>0.4223</v>
      </c>
      <c r="F11" s="8">
        <v>1.89</v>
      </c>
      <c r="G11" s="9">
        <v>0.96</v>
      </c>
      <c r="H11" s="10">
        <f t="shared" si="1"/>
        <v>-3.16462441</v>
      </c>
      <c r="I11" s="11">
        <f t="shared" si="2"/>
        <v>0.04223</v>
      </c>
      <c r="J11" s="5"/>
      <c r="K11" s="1"/>
      <c r="L11" s="1"/>
      <c r="M11" s="1"/>
      <c r="N11" s="1"/>
      <c r="O11" s="1"/>
      <c r="P11" s="1"/>
      <c r="Q11" s="1"/>
      <c r="R11" s="5"/>
      <c r="S11" s="5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6">
        <v>8.0</v>
      </c>
      <c r="C12" s="6">
        <v>8.0</v>
      </c>
      <c r="D12" s="6">
        <v>10.0</v>
      </c>
      <c r="E12" s="7">
        <v>0.4826</v>
      </c>
      <c r="F12" s="8">
        <v>2.16</v>
      </c>
      <c r="G12" s="9">
        <v>0.95</v>
      </c>
      <c r="H12" s="10">
        <f t="shared" si="1"/>
        <v>-3.031152219</v>
      </c>
      <c r="I12" s="11">
        <f t="shared" si="2"/>
        <v>0.04826</v>
      </c>
      <c r="J12" s="5"/>
      <c r="K12" s="1"/>
      <c r="L12" s="1"/>
      <c r="M12" s="1"/>
      <c r="N12" s="1"/>
      <c r="O12" s="1"/>
      <c r="P12" s="1"/>
      <c r="Q12" s="1"/>
      <c r="R12" s="5"/>
      <c r="S12" s="5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12">
        <v>9.0</v>
      </c>
      <c r="C13" s="12">
        <v>9.0</v>
      </c>
      <c r="D13" s="12">
        <v>10.0</v>
      </c>
      <c r="E13" s="13">
        <v>1.3374</v>
      </c>
      <c r="F13" s="14">
        <v>2.43</v>
      </c>
      <c r="G13" s="15">
        <v>0.87</v>
      </c>
      <c r="H13" s="16">
        <f t="shared" si="1"/>
        <v>-2.011857662</v>
      </c>
      <c r="I13" s="17">
        <f t="shared" si="2"/>
        <v>0.13374</v>
      </c>
      <c r="J13" s="5"/>
      <c r="K13" s="1"/>
      <c r="L13" s="1"/>
      <c r="M13" s="1"/>
      <c r="N13" s="1"/>
      <c r="O13" s="1"/>
      <c r="P13" s="1"/>
      <c r="Q13" s="1"/>
      <c r="R13" s="5"/>
      <c r="S13" s="5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6">
        <v>10.0</v>
      </c>
      <c r="C14" s="6">
        <v>10.0</v>
      </c>
      <c r="D14" s="6">
        <v>10.0</v>
      </c>
      <c r="E14" s="7">
        <v>2.0053</v>
      </c>
      <c r="F14" s="8">
        <v>2.7</v>
      </c>
      <c r="G14" s="9">
        <v>0.8</v>
      </c>
      <c r="H14" s="10">
        <f t="shared" si="1"/>
        <v>-1.606791417</v>
      </c>
      <c r="I14" s="11">
        <f t="shared" si="2"/>
        <v>0.20053</v>
      </c>
      <c r="J14" s="5"/>
      <c r="K14" s="1"/>
      <c r="L14" s="1"/>
      <c r="M14" s="1"/>
      <c r="N14" s="1"/>
      <c r="O14" s="1"/>
      <c r="P14" s="1"/>
      <c r="Q14" s="1"/>
      <c r="R14" s="5"/>
      <c r="S14" s="5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6">
        <v>11.0</v>
      </c>
      <c r="C15" s="6">
        <v>11.0</v>
      </c>
      <c r="D15" s="6">
        <v>10.0</v>
      </c>
      <c r="E15" s="7">
        <v>3.4663</v>
      </c>
      <c r="F15" s="8">
        <v>2.97</v>
      </c>
      <c r="G15" s="9">
        <v>0.65</v>
      </c>
      <c r="H15" s="10">
        <f t="shared" si="1"/>
        <v>-1.05949735</v>
      </c>
      <c r="I15" s="11">
        <f t="shared" si="2"/>
        <v>0.34663</v>
      </c>
      <c r="J15" s="5"/>
      <c r="K15" s="1"/>
      <c r="L15" s="1"/>
      <c r="M15" s="1"/>
      <c r="N15" s="1"/>
      <c r="O15" s="1"/>
      <c r="P15" s="1"/>
      <c r="Q15" s="1"/>
      <c r="R15" s="5"/>
      <c r="S15" s="5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6">
        <v>12.0</v>
      </c>
      <c r="C16" s="6">
        <v>12.0</v>
      </c>
      <c r="D16" s="6">
        <v>10.0</v>
      </c>
      <c r="E16" s="7">
        <v>3.1463</v>
      </c>
      <c r="F16" s="8">
        <v>3.24</v>
      </c>
      <c r="G16" s="9">
        <v>0.69</v>
      </c>
      <c r="H16" s="10">
        <f t="shared" si="1"/>
        <v>-1.156357934</v>
      </c>
      <c r="I16" s="11">
        <f t="shared" si="2"/>
        <v>0.31463</v>
      </c>
      <c r="J16" s="5"/>
      <c r="K16" s="1"/>
      <c r="L16" s="1"/>
      <c r="M16" s="1"/>
      <c r="N16" s="1"/>
      <c r="O16" s="1"/>
      <c r="P16" s="1"/>
      <c r="Q16" s="1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6">
        <v>13.0</v>
      </c>
      <c r="C17" s="6">
        <v>13.0</v>
      </c>
      <c r="D17" s="6">
        <v>10.0</v>
      </c>
      <c r="E17" s="7">
        <v>3.2019</v>
      </c>
      <c r="F17" s="8">
        <v>3.51</v>
      </c>
      <c r="G17" s="9">
        <v>0.68</v>
      </c>
      <c r="H17" s="10">
        <f t="shared" si="1"/>
        <v>-1.138840709</v>
      </c>
      <c r="I17" s="11">
        <f t="shared" si="2"/>
        <v>0.32019</v>
      </c>
      <c r="J17" s="5"/>
      <c r="K17" s="1"/>
      <c r="L17" s="1"/>
      <c r="M17" s="1"/>
      <c r="N17" s="1"/>
      <c r="O17" s="1"/>
      <c r="P17" s="1"/>
      <c r="Q17" s="1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6">
        <v>14.0</v>
      </c>
      <c r="C18" s="6">
        <v>14.0</v>
      </c>
      <c r="D18" s="6">
        <v>10.0</v>
      </c>
      <c r="E18" s="7">
        <v>5.1916</v>
      </c>
      <c r="F18" s="8">
        <v>3.78</v>
      </c>
      <c r="G18" s="9">
        <v>0.48</v>
      </c>
      <c r="H18" s="10">
        <f t="shared" si="1"/>
        <v>-0.6555431582</v>
      </c>
      <c r="I18" s="11">
        <f t="shared" si="2"/>
        <v>0.51916</v>
      </c>
      <c r="J18" s="5"/>
      <c r="K18" s="1"/>
      <c r="L18" s="1"/>
      <c r="M18" s="1"/>
      <c r="N18" s="1"/>
      <c r="O18" s="1"/>
      <c r="P18" s="1"/>
      <c r="Q18" s="1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6">
        <v>15.0</v>
      </c>
      <c r="C19" s="6">
        <v>15.0</v>
      </c>
      <c r="D19" s="6">
        <v>10.0</v>
      </c>
      <c r="E19" s="7">
        <v>6.1934</v>
      </c>
      <c r="F19" s="8">
        <v>4.05</v>
      </c>
      <c r="G19" s="9">
        <v>0.38</v>
      </c>
      <c r="H19" s="10">
        <f t="shared" si="1"/>
        <v>-0.4791008841</v>
      </c>
      <c r="I19" s="11">
        <f t="shared" si="2"/>
        <v>0.61934</v>
      </c>
      <c r="J19" s="5"/>
      <c r="K19" s="1"/>
      <c r="L19" s="1"/>
      <c r="M19" s="1"/>
      <c r="N19" s="1"/>
      <c r="O19" s="1"/>
      <c r="P19" s="1"/>
      <c r="Q19" s="1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6">
        <v>16.0</v>
      </c>
      <c r="C20" s="6">
        <v>16.0</v>
      </c>
      <c r="D20" s="6">
        <v>10.0</v>
      </c>
      <c r="E20" s="7">
        <v>6.9031</v>
      </c>
      <c r="F20" s="8">
        <v>4.32</v>
      </c>
      <c r="G20" s="9">
        <v>0.31</v>
      </c>
      <c r="H20" s="10">
        <f t="shared" si="1"/>
        <v>-0.3706145069</v>
      </c>
      <c r="I20" s="11">
        <f t="shared" si="2"/>
        <v>0.69031</v>
      </c>
      <c r="J20" s="5"/>
      <c r="K20" s="1"/>
      <c r="L20" s="1"/>
      <c r="M20" s="1"/>
      <c r="N20" s="1"/>
      <c r="O20" s="1"/>
      <c r="P20" s="1"/>
      <c r="Q20" s="1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6">
        <v>17.0</v>
      </c>
      <c r="C21" s="6">
        <v>17.0</v>
      </c>
      <c r="D21" s="6">
        <v>10.0</v>
      </c>
      <c r="E21" s="7">
        <v>8.0997</v>
      </c>
      <c r="F21" s="8">
        <v>4.59</v>
      </c>
      <c r="G21" s="9">
        <v>0.19</v>
      </c>
      <c r="H21" s="10">
        <f t="shared" si="1"/>
        <v>-0.210758069</v>
      </c>
      <c r="I21" s="11">
        <f t="shared" si="2"/>
        <v>0.80997</v>
      </c>
      <c r="J21" s="5"/>
      <c r="K21" s="1"/>
      <c r="L21" s="1"/>
      <c r="M21" s="1"/>
      <c r="N21" s="1"/>
      <c r="O21" s="1"/>
      <c r="P21" s="1"/>
      <c r="Q21" s="1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6">
        <v>18.0</v>
      </c>
      <c r="C22" s="6">
        <v>18.0</v>
      </c>
      <c r="D22" s="6">
        <v>10.0</v>
      </c>
      <c r="E22" s="7">
        <v>8.5449</v>
      </c>
      <c r="F22" s="8">
        <v>4.86</v>
      </c>
      <c r="G22" s="9">
        <v>0.15</v>
      </c>
      <c r="H22" s="10">
        <f t="shared" si="1"/>
        <v>-0.1572504792</v>
      </c>
      <c r="I22" s="11">
        <f t="shared" si="2"/>
        <v>0.85449</v>
      </c>
      <c r="J22" s="5"/>
      <c r="K22" s="1"/>
      <c r="L22" s="1"/>
      <c r="M22" s="1"/>
      <c r="N22" s="1"/>
      <c r="O22" s="1"/>
      <c r="P22" s="1"/>
      <c r="Q22" s="1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6">
        <v>19.0</v>
      </c>
      <c r="C23" s="6">
        <v>19.0</v>
      </c>
      <c r="D23" s="6">
        <v>10.0</v>
      </c>
      <c r="E23" s="7">
        <v>9.5189</v>
      </c>
      <c r="F23" s="8">
        <v>5.13</v>
      </c>
      <c r="G23" s="9">
        <v>0.05</v>
      </c>
      <c r="H23" s="10">
        <f t="shared" si="1"/>
        <v>-0.04930579709</v>
      </c>
      <c r="I23" s="11">
        <f t="shared" si="2"/>
        <v>0.95189</v>
      </c>
      <c r="J23" s="5"/>
      <c r="K23" s="1"/>
      <c r="L23" s="1"/>
      <c r="M23" s="1"/>
      <c r="N23" s="1"/>
      <c r="O23" s="1"/>
      <c r="P23" s="1"/>
      <c r="Q23" s="1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6">
        <v>20.0</v>
      </c>
      <c r="C24" s="6">
        <v>20.0</v>
      </c>
      <c r="D24" s="6">
        <v>10.0</v>
      </c>
      <c r="E24" s="7">
        <v>9.6024</v>
      </c>
      <c r="F24" s="8">
        <v>5.4</v>
      </c>
      <c r="G24" s="9">
        <v>0.04</v>
      </c>
      <c r="H24" s="10">
        <f t="shared" si="1"/>
        <v>-0.04057202577</v>
      </c>
      <c r="I24" s="11">
        <f t="shared" si="2"/>
        <v>0.96024</v>
      </c>
      <c r="J24" s="5"/>
      <c r="K24" s="1"/>
      <c r="L24" s="1"/>
      <c r="M24" s="1"/>
      <c r="N24" s="1"/>
      <c r="O24" s="1"/>
      <c r="P24" s="1"/>
      <c r="Q24" s="1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6">
        <v>21.0</v>
      </c>
      <c r="C25" s="6">
        <v>21.0</v>
      </c>
      <c r="D25" s="6">
        <v>10.0</v>
      </c>
      <c r="E25" s="7">
        <v>9.2545</v>
      </c>
      <c r="F25" s="8">
        <v>5.67</v>
      </c>
      <c r="G25" s="9">
        <v>0.07</v>
      </c>
      <c r="H25" s="10">
        <f t="shared" si="1"/>
        <v>-0.07747517328</v>
      </c>
      <c r="I25" s="11">
        <f t="shared" si="2"/>
        <v>0.92545</v>
      </c>
      <c r="J25" s="5"/>
      <c r="K25" s="1"/>
      <c r="L25" s="1"/>
      <c r="M25" s="1"/>
      <c r="N25" s="1"/>
      <c r="O25" s="1"/>
      <c r="P25" s="1"/>
      <c r="Q25" s="1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18">
        <v>22.0</v>
      </c>
      <c r="C26" s="18">
        <v>22.0</v>
      </c>
      <c r="D26" s="18">
        <v>10.0</v>
      </c>
      <c r="E26" s="19">
        <v>9.4911</v>
      </c>
      <c r="F26" s="20">
        <v>5.94</v>
      </c>
      <c r="G26" s="21">
        <v>0.05</v>
      </c>
      <c r="H26" s="22">
        <f t="shared" si="1"/>
        <v>-0.0522305756</v>
      </c>
      <c r="I26" s="23">
        <f t="shared" si="2"/>
        <v>0.94911</v>
      </c>
      <c r="J26" s="5"/>
      <c r="K26" s="1"/>
      <c r="L26" s="1"/>
      <c r="M26" s="1"/>
      <c r="N26" s="1"/>
      <c r="O26" s="1"/>
      <c r="P26" s="1"/>
      <c r="Q26" s="1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24" t="s">
        <v>13</v>
      </c>
      <c r="H27" s="1"/>
      <c r="I27" s="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25" t="s">
        <v>14</v>
      </c>
      <c r="H28" s="1"/>
      <c r="I28" s="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2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3"/>
      <c r="C32" s="27"/>
      <c r="D32" s="28"/>
      <c r="E32" s="28"/>
      <c r="F32" s="28"/>
      <c r="G32" s="28"/>
      <c r="H32" s="28"/>
      <c r="I32" s="2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29"/>
      <c r="C33" s="30"/>
      <c r="D33" s="30"/>
      <c r="E33" s="31"/>
      <c r="F33" s="31"/>
      <c r="G33" s="30"/>
      <c r="H33" s="30"/>
      <c r="I33" s="3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32"/>
      <c r="C34" s="32"/>
      <c r="D34" s="33"/>
      <c r="E34" s="33"/>
      <c r="F34" s="33"/>
      <c r="G34" s="33"/>
      <c r="H34" s="33"/>
      <c r="I34" s="3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32"/>
      <c r="C35" s="32"/>
      <c r="D35" s="33"/>
      <c r="E35" s="33"/>
      <c r="F35" s="33"/>
      <c r="G35" s="33"/>
      <c r="H35" s="33"/>
      <c r="I35" s="3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32"/>
      <c r="C36" s="32"/>
      <c r="D36" s="33"/>
      <c r="E36" s="33"/>
      <c r="F36" s="33"/>
      <c r="G36" s="33"/>
      <c r="H36" s="33"/>
      <c r="I36" s="3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32"/>
      <c r="C37" s="32"/>
      <c r="D37" s="33"/>
      <c r="E37" s="33"/>
      <c r="F37" s="33"/>
      <c r="G37" s="33"/>
      <c r="H37" s="33"/>
      <c r="I37" s="3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32"/>
      <c r="C38" s="32"/>
      <c r="D38" s="33"/>
      <c r="E38" s="33"/>
      <c r="F38" s="33"/>
      <c r="G38" s="33"/>
      <c r="H38" s="33"/>
      <c r="I38" s="3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32"/>
      <c r="C39" s="32"/>
      <c r="D39" s="33"/>
      <c r="E39" s="33"/>
      <c r="F39" s="33"/>
      <c r="G39" s="33"/>
      <c r="H39" s="33"/>
      <c r="I39" s="3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32"/>
      <c r="C40" s="32"/>
      <c r="D40" s="33"/>
      <c r="E40" s="33"/>
      <c r="F40" s="33"/>
      <c r="G40" s="33"/>
      <c r="H40" s="33"/>
      <c r="I40" s="3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32"/>
      <c r="C41" s="32"/>
      <c r="D41" s="33"/>
      <c r="E41" s="33"/>
      <c r="F41" s="33"/>
      <c r="G41" s="33"/>
      <c r="H41" s="33"/>
      <c r="I41" s="3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32"/>
      <c r="C42" s="32"/>
      <c r="D42" s="33"/>
      <c r="E42" s="33"/>
      <c r="F42" s="33"/>
      <c r="G42" s="33"/>
      <c r="H42" s="33"/>
      <c r="I42" s="3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32"/>
      <c r="C43" s="32"/>
      <c r="D43" s="33"/>
      <c r="E43" s="33"/>
      <c r="F43" s="33"/>
      <c r="G43" s="33"/>
      <c r="H43" s="33"/>
      <c r="I43" s="3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32"/>
      <c r="C44" s="32"/>
      <c r="D44" s="33"/>
      <c r="E44" s="33"/>
      <c r="F44" s="33"/>
      <c r="G44" s="33"/>
      <c r="H44" s="33"/>
      <c r="I44" s="3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32"/>
      <c r="C45" s="32"/>
      <c r="D45" s="33"/>
      <c r="E45" s="33"/>
      <c r="F45" s="33"/>
      <c r="G45" s="33"/>
      <c r="H45" s="33"/>
      <c r="I45" s="3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32"/>
      <c r="C46" s="32"/>
      <c r="D46" s="33"/>
      <c r="E46" s="33"/>
      <c r="F46" s="33"/>
      <c r="G46" s="33"/>
      <c r="H46" s="33"/>
      <c r="I46" s="3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32"/>
      <c r="C47" s="32"/>
      <c r="D47" s="33"/>
      <c r="E47" s="33"/>
      <c r="F47" s="33"/>
      <c r="G47" s="33"/>
      <c r="H47" s="33"/>
      <c r="I47" s="3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32"/>
      <c r="C48" s="32"/>
      <c r="D48" s="33"/>
      <c r="E48" s="33"/>
      <c r="F48" s="33"/>
      <c r="G48" s="33"/>
      <c r="H48" s="33"/>
      <c r="I48" s="3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32"/>
      <c r="C49" s="32"/>
      <c r="D49" s="33"/>
      <c r="E49" s="33"/>
      <c r="F49" s="33"/>
      <c r="G49" s="33"/>
      <c r="H49" s="33"/>
      <c r="I49" s="3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32"/>
      <c r="C50" s="32"/>
      <c r="D50" s="33"/>
      <c r="E50" s="33"/>
      <c r="F50" s="33"/>
      <c r="G50" s="33"/>
      <c r="H50" s="33"/>
      <c r="I50" s="3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32"/>
      <c r="C51" s="32"/>
      <c r="D51" s="33"/>
      <c r="E51" s="33"/>
      <c r="F51" s="33"/>
      <c r="G51" s="33"/>
      <c r="H51" s="33"/>
      <c r="I51" s="3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32"/>
      <c r="C52" s="32"/>
      <c r="D52" s="33"/>
      <c r="E52" s="33"/>
      <c r="F52" s="33"/>
      <c r="G52" s="33"/>
      <c r="H52" s="33"/>
      <c r="I52" s="3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32"/>
      <c r="C53" s="32"/>
      <c r="D53" s="33"/>
      <c r="E53" s="33"/>
      <c r="F53" s="33"/>
      <c r="G53" s="33"/>
      <c r="H53" s="33"/>
      <c r="I53" s="3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32"/>
      <c r="C54" s="32"/>
      <c r="D54" s="33"/>
      <c r="E54" s="33"/>
      <c r="F54" s="33"/>
      <c r="G54" s="33"/>
      <c r="H54" s="33"/>
      <c r="I54" s="3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32"/>
      <c r="C55" s="32"/>
      <c r="D55" s="33"/>
      <c r="E55" s="33"/>
      <c r="F55" s="33"/>
      <c r="G55" s="33"/>
      <c r="H55" s="33"/>
      <c r="I55" s="3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26" t="s">
        <v>15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34" t="s">
        <v>16</v>
      </c>
      <c r="C59" s="28" t="s">
        <v>17</v>
      </c>
      <c r="D59" s="28" t="s">
        <v>18</v>
      </c>
      <c r="E59" s="28" t="s">
        <v>19</v>
      </c>
      <c r="F59" s="28"/>
      <c r="G59" s="28" t="s">
        <v>20</v>
      </c>
      <c r="H59" s="28" t="s">
        <v>21</v>
      </c>
      <c r="I59" s="28" t="s">
        <v>22</v>
      </c>
      <c r="J59" s="35" t="s">
        <v>23</v>
      </c>
      <c r="K59" s="3" t="s">
        <v>24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30" t="s">
        <v>25</v>
      </c>
      <c r="C60" s="30" t="s">
        <v>26</v>
      </c>
      <c r="D60" s="30" t="s">
        <v>11</v>
      </c>
      <c r="E60" s="31"/>
      <c r="F60" s="31"/>
      <c r="G60" s="31"/>
      <c r="H60" s="30" t="s">
        <v>27</v>
      </c>
      <c r="I60" s="30" t="s">
        <v>10</v>
      </c>
      <c r="J60" s="36" t="s">
        <v>10</v>
      </c>
      <c r="K60" s="3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32">
        <v>20.0</v>
      </c>
      <c r="C61" s="32">
        <f t="shared" ref="C61:C82" si="3">4.5*0.06</f>
        <v>0.27</v>
      </c>
      <c r="D61" s="33"/>
      <c r="E61" s="33"/>
      <c r="F61" s="33"/>
      <c r="G61" s="33"/>
      <c r="H61" s="33"/>
      <c r="I61" s="33"/>
      <c r="J61" s="38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32">
        <v>20.0</v>
      </c>
      <c r="C62" s="32">
        <f t="shared" si="3"/>
        <v>0.27</v>
      </c>
      <c r="D62" s="33"/>
      <c r="E62" s="33"/>
      <c r="F62" s="33"/>
      <c r="G62" s="33"/>
      <c r="H62" s="33"/>
      <c r="I62" s="33"/>
      <c r="J62" s="38"/>
      <c r="K62" s="39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32">
        <v>20.0</v>
      </c>
      <c r="C63" s="32">
        <f t="shared" si="3"/>
        <v>0.27</v>
      </c>
      <c r="D63" s="33"/>
      <c r="E63" s="33"/>
      <c r="F63" s="33"/>
      <c r="G63" s="33"/>
      <c r="H63" s="33"/>
      <c r="I63" s="33"/>
      <c r="J63" s="38"/>
      <c r="K63" s="39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32">
        <v>20.0</v>
      </c>
      <c r="C64" s="32">
        <f t="shared" si="3"/>
        <v>0.27</v>
      </c>
      <c r="D64" s="33"/>
      <c r="E64" s="33"/>
      <c r="F64" s="33"/>
      <c r="G64" s="33"/>
      <c r="H64" s="33"/>
      <c r="I64" s="33"/>
      <c r="J64" s="38"/>
      <c r="K64" s="39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32">
        <v>20.0</v>
      </c>
      <c r="C65" s="32">
        <f t="shared" si="3"/>
        <v>0.27</v>
      </c>
      <c r="D65" s="33"/>
      <c r="E65" s="33"/>
      <c r="F65" s="33"/>
      <c r="G65" s="33"/>
      <c r="H65" s="33"/>
      <c r="I65" s="33"/>
      <c r="J65" s="38"/>
      <c r="K65" s="39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32">
        <v>20.0</v>
      </c>
      <c r="C66" s="32">
        <f t="shared" si="3"/>
        <v>0.27</v>
      </c>
      <c r="D66" s="33"/>
      <c r="E66" s="33"/>
      <c r="F66" s="33"/>
      <c r="G66" s="33"/>
      <c r="H66" s="33"/>
      <c r="I66" s="33"/>
      <c r="J66" s="38"/>
      <c r="K66" s="39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32">
        <v>20.0</v>
      </c>
      <c r="C67" s="32">
        <f t="shared" si="3"/>
        <v>0.27</v>
      </c>
      <c r="D67" s="33"/>
      <c r="E67" s="33"/>
      <c r="F67" s="33"/>
      <c r="G67" s="33"/>
      <c r="H67" s="33"/>
      <c r="I67" s="33"/>
      <c r="J67" s="38"/>
      <c r="K67" s="39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32">
        <v>20.0</v>
      </c>
      <c r="C68" s="32">
        <f t="shared" si="3"/>
        <v>0.27</v>
      </c>
      <c r="D68" s="33"/>
      <c r="E68" s="33"/>
      <c r="F68" s="33"/>
      <c r="G68" s="33"/>
      <c r="H68" s="33"/>
      <c r="I68" s="33"/>
      <c r="J68" s="38"/>
      <c r="K68" s="39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32">
        <v>20.0</v>
      </c>
      <c r="C69" s="32">
        <f t="shared" si="3"/>
        <v>0.27</v>
      </c>
      <c r="D69" s="33"/>
      <c r="E69" s="33"/>
      <c r="F69" s="33"/>
      <c r="G69" s="33"/>
      <c r="H69" s="33"/>
      <c r="I69" s="33"/>
      <c r="J69" s="38"/>
      <c r="K69" s="39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32">
        <v>20.0</v>
      </c>
      <c r="C70" s="32">
        <f t="shared" si="3"/>
        <v>0.27</v>
      </c>
      <c r="D70" s="33"/>
      <c r="E70" s="33"/>
      <c r="F70" s="33"/>
      <c r="G70" s="33"/>
      <c r="H70" s="33"/>
      <c r="I70" s="33"/>
      <c r="J70" s="38"/>
      <c r="K70" s="39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32">
        <v>20.0</v>
      </c>
      <c r="C71" s="32">
        <f t="shared" si="3"/>
        <v>0.27</v>
      </c>
      <c r="D71" s="33"/>
      <c r="E71" s="33"/>
      <c r="F71" s="33"/>
      <c r="G71" s="33"/>
      <c r="H71" s="33"/>
      <c r="I71" s="33"/>
      <c r="J71" s="38"/>
      <c r="K71" s="39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32">
        <v>20.0</v>
      </c>
      <c r="C72" s="32">
        <f t="shared" si="3"/>
        <v>0.27</v>
      </c>
      <c r="D72" s="33"/>
      <c r="E72" s="33"/>
      <c r="F72" s="33"/>
      <c r="G72" s="33"/>
      <c r="H72" s="33"/>
      <c r="I72" s="33"/>
      <c r="J72" s="38"/>
      <c r="K72" s="39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32">
        <v>20.0</v>
      </c>
      <c r="C73" s="32">
        <f t="shared" si="3"/>
        <v>0.27</v>
      </c>
      <c r="D73" s="33"/>
      <c r="E73" s="33"/>
      <c r="F73" s="33"/>
      <c r="G73" s="33"/>
      <c r="H73" s="33"/>
      <c r="I73" s="33"/>
      <c r="J73" s="38"/>
      <c r="K73" s="39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32">
        <v>20.0</v>
      </c>
      <c r="C74" s="32">
        <f t="shared" si="3"/>
        <v>0.27</v>
      </c>
      <c r="D74" s="33"/>
      <c r="E74" s="33"/>
      <c r="F74" s="33"/>
      <c r="G74" s="33"/>
      <c r="H74" s="33"/>
      <c r="I74" s="33"/>
      <c r="J74" s="38"/>
      <c r="K74" s="39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32">
        <v>20.0</v>
      </c>
      <c r="C75" s="32">
        <f t="shared" si="3"/>
        <v>0.27</v>
      </c>
      <c r="D75" s="33"/>
      <c r="E75" s="33"/>
      <c r="F75" s="33"/>
      <c r="G75" s="33"/>
      <c r="H75" s="33"/>
      <c r="I75" s="33"/>
      <c r="J75" s="38"/>
      <c r="K75" s="3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32">
        <v>20.0</v>
      </c>
      <c r="C76" s="32">
        <f t="shared" si="3"/>
        <v>0.27</v>
      </c>
      <c r="D76" s="33"/>
      <c r="E76" s="33"/>
      <c r="F76" s="33"/>
      <c r="G76" s="33"/>
      <c r="H76" s="33"/>
      <c r="I76" s="33"/>
      <c r="J76" s="38"/>
      <c r="K76" s="39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32">
        <v>20.0</v>
      </c>
      <c r="C77" s="32">
        <f t="shared" si="3"/>
        <v>0.27</v>
      </c>
      <c r="D77" s="33"/>
      <c r="E77" s="33"/>
      <c r="F77" s="33"/>
      <c r="G77" s="33"/>
      <c r="H77" s="33"/>
      <c r="I77" s="33"/>
      <c r="J77" s="38"/>
      <c r="K77" s="39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32">
        <v>20.0</v>
      </c>
      <c r="C78" s="32">
        <f t="shared" si="3"/>
        <v>0.27</v>
      </c>
      <c r="D78" s="33"/>
      <c r="E78" s="33"/>
      <c r="F78" s="33"/>
      <c r="G78" s="33"/>
      <c r="H78" s="33"/>
      <c r="I78" s="33"/>
      <c r="J78" s="38"/>
      <c r="K78" s="39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32">
        <v>20.0</v>
      </c>
      <c r="C79" s="32">
        <f t="shared" si="3"/>
        <v>0.27</v>
      </c>
      <c r="D79" s="33"/>
      <c r="E79" s="33"/>
      <c r="F79" s="33"/>
      <c r="G79" s="33"/>
      <c r="H79" s="33"/>
      <c r="I79" s="33"/>
      <c r="J79" s="38"/>
      <c r="K79" s="39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32">
        <v>20.0</v>
      </c>
      <c r="C80" s="32">
        <f t="shared" si="3"/>
        <v>0.27</v>
      </c>
      <c r="D80" s="33"/>
      <c r="E80" s="33"/>
      <c r="F80" s="33"/>
      <c r="G80" s="33"/>
      <c r="H80" s="33"/>
      <c r="I80" s="33"/>
      <c r="J80" s="38"/>
      <c r="K80" s="39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32">
        <v>20.0</v>
      </c>
      <c r="C81" s="32">
        <f t="shared" si="3"/>
        <v>0.27</v>
      </c>
      <c r="D81" s="33"/>
      <c r="E81" s="33"/>
      <c r="F81" s="33"/>
      <c r="G81" s="33"/>
      <c r="H81" s="33"/>
      <c r="I81" s="33"/>
      <c r="J81" s="38"/>
      <c r="K81" s="39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32">
        <v>20.0</v>
      </c>
      <c r="C82" s="32">
        <f t="shared" si="3"/>
        <v>0.27</v>
      </c>
      <c r="D82" s="33"/>
      <c r="E82" s="33"/>
      <c r="F82" s="33"/>
      <c r="G82" s="33"/>
      <c r="H82" s="33"/>
      <c r="I82" s="33"/>
      <c r="J82" s="38"/>
      <c r="K82" s="39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2" t="s">
        <v>28</v>
      </c>
      <c r="K85" s="40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34" t="s">
        <v>2</v>
      </c>
      <c r="C86" s="34" t="s">
        <v>16</v>
      </c>
      <c r="D86" s="28" t="s">
        <v>17</v>
      </c>
      <c r="E86" s="28" t="s">
        <v>17</v>
      </c>
      <c r="F86" s="28" t="s">
        <v>17</v>
      </c>
      <c r="G86" s="34" t="s">
        <v>29</v>
      </c>
      <c r="H86" s="34" t="s">
        <v>30</v>
      </c>
      <c r="I86" s="34" t="s">
        <v>31</v>
      </c>
      <c r="J86" s="34" t="s">
        <v>19</v>
      </c>
      <c r="K86" s="41" t="s">
        <v>32</v>
      </c>
      <c r="L86" s="3" t="s">
        <v>33</v>
      </c>
      <c r="M86" s="3" t="s">
        <v>1</v>
      </c>
      <c r="N86" s="3" t="s">
        <v>24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42" t="s">
        <v>10</v>
      </c>
      <c r="C87" s="30" t="s">
        <v>25</v>
      </c>
      <c r="D87" s="42" t="s">
        <v>34</v>
      </c>
      <c r="E87" s="42" t="s">
        <v>35</v>
      </c>
      <c r="F87" s="30" t="s">
        <v>26</v>
      </c>
      <c r="G87" s="42" t="s">
        <v>36</v>
      </c>
      <c r="H87" s="42" t="s">
        <v>37</v>
      </c>
      <c r="I87" s="42" t="s">
        <v>38</v>
      </c>
      <c r="J87" s="30"/>
      <c r="K87" s="43"/>
      <c r="L87" s="4" t="s">
        <v>39</v>
      </c>
      <c r="M87" s="4" t="s">
        <v>38</v>
      </c>
      <c r="N87" s="44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45">
        <v>1.0</v>
      </c>
      <c r="C88" s="32">
        <v>20.0</v>
      </c>
      <c r="D88" s="45">
        <v>4.5</v>
      </c>
      <c r="E88" s="32">
        <f t="shared" ref="E88:E109" si="4">D88*60</f>
        <v>270</v>
      </c>
      <c r="F88" s="32">
        <f t="shared" ref="F88:F109" si="5">E88/1000</f>
        <v>0.27</v>
      </c>
      <c r="G88" s="32">
        <f t="shared" ref="G88:G109" si="6">(1/4)*3.14*3^2</f>
        <v>7.065</v>
      </c>
      <c r="H88" s="46">
        <f t="shared" ref="H88:H109" si="7">E88/G88</f>
        <v>38.21656051</v>
      </c>
      <c r="I88" s="32">
        <f t="shared" ref="I88:I109" si="8">D5</f>
        <v>10</v>
      </c>
      <c r="J88" s="45">
        <v>0.2254</v>
      </c>
      <c r="K88" s="47">
        <v>-4.2804</v>
      </c>
      <c r="L88" s="10">
        <f t="shared" ref="L88:L109" si="9">J88/(I88*B88)</f>
        <v>0.02254</v>
      </c>
      <c r="M88" s="48">
        <f t="shared" ref="M88:M109" si="10">ABS((K88*H88)/(L88*C88))</f>
        <v>362.8708199</v>
      </c>
      <c r="N88" s="6">
        <v>0.9298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45">
        <v>2.0</v>
      </c>
      <c r="C89" s="32">
        <v>20.0</v>
      </c>
      <c r="D89" s="45">
        <v>4.5</v>
      </c>
      <c r="E89" s="32">
        <f t="shared" si="4"/>
        <v>270</v>
      </c>
      <c r="F89" s="32">
        <f t="shared" si="5"/>
        <v>0.27</v>
      </c>
      <c r="G89" s="32">
        <f t="shared" si="6"/>
        <v>7.065</v>
      </c>
      <c r="H89" s="46">
        <f t="shared" si="7"/>
        <v>38.21656051</v>
      </c>
      <c r="I89" s="32">
        <f t="shared" si="8"/>
        <v>10</v>
      </c>
      <c r="J89" s="45">
        <v>0.2254</v>
      </c>
      <c r="K89" s="47">
        <v>-4.2804</v>
      </c>
      <c r="L89" s="10">
        <f t="shared" si="9"/>
        <v>0.01127</v>
      </c>
      <c r="M89" s="48">
        <f t="shared" si="10"/>
        <v>725.7416398</v>
      </c>
      <c r="N89" s="6">
        <v>0.9298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45">
        <v>3.0</v>
      </c>
      <c r="C90" s="32">
        <v>20.0</v>
      </c>
      <c r="D90" s="45">
        <v>4.5</v>
      </c>
      <c r="E90" s="32">
        <f t="shared" si="4"/>
        <v>270</v>
      </c>
      <c r="F90" s="32">
        <f t="shared" si="5"/>
        <v>0.27</v>
      </c>
      <c r="G90" s="32">
        <f t="shared" si="6"/>
        <v>7.065</v>
      </c>
      <c r="H90" s="46">
        <f t="shared" si="7"/>
        <v>38.21656051</v>
      </c>
      <c r="I90" s="32">
        <f t="shared" si="8"/>
        <v>10</v>
      </c>
      <c r="J90" s="45">
        <v>0.2254</v>
      </c>
      <c r="K90" s="47">
        <v>-4.2804</v>
      </c>
      <c r="L90" s="10">
        <f t="shared" si="9"/>
        <v>0.007513333333</v>
      </c>
      <c r="M90" s="48">
        <f t="shared" si="10"/>
        <v>1088.61246</v>
      </c>
      <c r="N90" s="6">
        <v>0.9298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45">
        <v>4.0</v>
      </c>
      <c r="C91" s="32">
        <v>20.0</v>
      </c>
      <c r="D91" s="45">
        <v>4.5</v>
      </c>
      <c r="E91" s="32">
        <f t="shared" si="4"/>
        <v>270</v>
      </c>
      <c r="F91" s="32">
        <f t="shared" si="5"/>
        <v>0.27</v>
      </c>
      <c r="G91" s="32">
        <f t="shared" si="6"/>
        <v>7.065</v>
      </c>
      <c r="H91" s="46">
        <f t="shared" si="7"/>
        <v>38.21656051</v>
      </c>
      <c r="I91" s="32">
        <f t="shared" si="8"/>
        <v>10</v>
      </c>
      <c r="J91" s="45">
        <v>0.2254</v>
      </c>
      <c r="K91" s="47">
        <v>-4.2804</v>
      </c>
      <c r="L91" s="10">
        <f t="shared" si="9"/>
        <v>0.005635</v>
      </c>
      <c r="M91" s="48">
        <f t="shared" si="10"/>
        <v>1451.48328</v>
      </c>
      <c r="N91" s="6">
        <v>0.9298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45">
        <v>5.0</v>
      </c>
      <c r="C92" s="32">
        <v>20.0</v>
      </c>
      <c r="D92" s="45">
        <v>4.5</v>
      </c>
      <c r="E92" s="32">
        <f t="shared" si="4"/>
        <v>270</v>
      </c>
      <c r="F92" s="32">
        <f t="shared" si="5"/>
        <v>0.27</v>
      </c>
      <c r="G92" s="32">
        <f t="shared" si="6"/>
        <v>7.065</v>
      </c>
      <c r="H92" s="46">
        <f t="shared" si="7"/>
        <v>38.21656051</v>
      </c>
      <c r="I92" s="32">
        <f t="shared" si="8"/>
        <v>10</v>
      </c>
      <c r="J92" s="45">
        <v>0.2254</v>
      </c>
      <c r="K92" s="47">
        <v>-4.2804</v>
      </c>
      <c r="L92" s="10">
        <f t="shared" si="9"/>
        <v>0.004508</v>
      </c>
      <c r="M92" s="48">
        <f t="shared" si="10"/>
        <v>1814.354099</v>
      </c>
      <c r="N92" s="6">
        <v>0.9298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45">
        <v>6.0</v>
      </c>
      <c r="C93" s="32">
        <v>20.0</v>
      </c>
      <c r="D93" s="45">
        <v>4.5</v>
      </c>
      <c r="E93" s="32">
        <f t="shared" si="4"/>
        <v>270</v>
      </c>
      <c r="F93" s="32">
        <f t="shared" si="5"/>
        <v>0.27</v>
      </c>
      <c r="G93" s="32">
        <f t="shared" si="6"/>
        <v>7.065</v>
      </c>
      <c r="H93" s="46">
        <f t="shared" si="7"/>
        <v>38.21656051</v>
      </c>
      <c r="I93" s="32">
        <f t="shared" si="8"/>
        <v>10</v>
      </c>
      <c r="J93" s="45">
        <v>0.2254</v>
      </c>
      <c r="K93" s="47">
        <v>-4.2804</v>
      </c>
      <c r="L93" s="10">
        <f t="shared" si="9"/>
        <v>0.003756666667</v>
      </c>
      <c r="M93" s="48">
        <f t="shared" si="10"/>
        <v>2177.224919</v>
      </c>
      <c r="N93" s="6">
        <v>0.9298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45">
        <v>7.0</v>
      </c>
      <c r="C94" s="32">
        <v>20.0</v>
      </c>
      <c r="D94" s="45">
        <v>4.5</v>
      </c>
      <c r="E94" s="32">
        <f t="shared" si="4"/>
        <v>270</v>
      </c>
      <c r="F94" s="32">
        <f t="shared" si="5"/>
        <v>0.27</v>
      </c>
      <c r="G94" s="32">
        <f t="shared" si="6"/>
        <v>7.065</v>
      </c>
      <c r="H94" s="46">
        <f t="shared" si="7"/>
        <v>38.21656051</v>
      </c>
      <c r="I94" s="32">
        <f t="shared" si="8"/>
        <v>10</v>
      </c>
      <c r="J94" s="45">
        <v>0.2254</v>
      </c>
      <c r="K94" s="47">
        <v>-4.2804</v>
      </c>
      <c r="L94" s="10">
        <f t="shared" si="9"/>
        <v>0.00322</v>
      </c>
      <c r="M94" s="48">
        <f t="shared" si="10"/>
        <v>2540.095739</v>
      </c>
      <c r="N94" s="6">
        <v>0.9298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45">
        <v>8.0</v>
      </c>
      <c r="C95" s="32">
        <v>20.0</v>
      </c>
      <c r="D95" s="45">
        <v>4.5</v>
      </c>
      <c r="E95" s="32">
        <f t="shared" si="4"/>
        <v>270</v>
      </c>
      <c r="F95" s="32">
        <f t="shared" si="5"/>
        <v>0.27</v>
      </c>
      <c r="G95" s="32">
        <f t="shared" si="6"/>
        <v>7.065</v>
      </c>
      <c r="H95" s="46">
        <f t="shared" si="7"/>
        <v>38.21656051</v>
      </c>
      <c r="I95" s="32">
        <f t="shared" si="8"/>
        <v>10</v>
      </c>
      <c r="J95" s="45">
        <v>0.2254</v>
      </c>
      <c r="K95" s="47">
        <v>-4.2804</v>
      </c>
      <c r="L95" s="10">
        <f t="shared" si="9"/>
        <v>0.0028175</v>
      </c>
      <c r="M95" s="48">
        <f t="shared" si="10"/>
        <v>2902.966559</v>
      </c>
      <c r="N95" s="6">
        <v>0.9298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45">
        <v>9.0</v>
      </c>
      <c r="C96" s="32">
        <v>20.0</v>
      </c>
      <c r="D96" s="45">
        <v>4.5</v>
      </c>
      <c r="E96" s="32">
        <f t="shared" si="4"/>
        <v>270</v>
      </c>
      <c r="F96" s="32">
        <f t="shared" si="5"/>
        <v>0.27</v>
      </c>
      <c r="G96" s="32">
        <f t="shared" si="6"/>
        <v>7.065</v>
      </c>
      <c r="H96" s="46">
        <f t="shared" si="7"/>
        <v>38.21656051</v>
      </c>
      <c r="I96" s="32">
        <f t="shared" si="8"/>
        <v>10</v>
      </c>
      <c r="J96" s="45">
        <v>0.2254</v>
      </c>
      <c r="K96" s="47">
        <v>-4.2804</v>
      </c>
      <c r="L96" s="10">
        <f t="shared" si="9"/>
        <v>0.002504444444</v>
      </c>
      <c r="M96" s="48">
        <f t="shared" si="10"/>
        <v>3265.837379</v>
      </c>
      <c r="N96" s="6">
        <v>0.9298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45">
        <v>10.0</v>
      </c>
      <c r="C97" s="32">
        <v>20.0</v>
      </c>
      <c r="D97" s="45">
        <v>4.5</v>
      </c>
      <c r="E97" s="32">
        <f t="shared" si="4"/>
        <v>270</v>
      </c>
      <c r="F97" s="32">
        <f t="shared" si="5"/>
        <v>0.27</v>
      </c>
      <c r="G97" s="32">
        <f t="shared" si="6"/>
        <v>7.065</v>
      </c>
      <c r="H97" s="46">
        <f t="shared" si="7"/>
        <v>38.21656051</v>
      </c>
      <c r="I97" s="32">
        <f t="shared" si="8"/>
        <v>10</v>
      </c>
      <c r="J97" s="45">
        <v>0.2254</v>
      </c>
      <c r="K97" s="47">
        <v>-4.2804</v>
      </c>
      <c r="L97" s="10">
        <f t="shared" si="9"/>
        <v>0.002254</v>
      </c>
      <c r="M97" s="48">
        <f t="shared" si="10"/>
        <v>3628.708199</v>
      </c>
      <c r="N97" s="6">
        <v>0.9298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45">
        <v>11.0</v>
      </c>
      <c r="C98" s="32">
        <v>20.0</v>
      </c>
      <c r="D98" s="45">
        <v>4.5</v>
      </c>
      <c r="E98" s="32">
        <f t="shared" si="4"/>
        <v>270</v>
      </c>
      <c r="F98" s="32">
        <f t="shared" si="5"/>
        <v>0.27</v>
      </c>
      <c r="G98" s="32">
        <f t="shared" si="6"/>
        <v>7.065</v>
      </c>
      <c r="H98" s="46">
        <f t="shared" si="7"/>
        <v>38.21656051</v>
      </c>
      <c r="I98" s="32">
        <f t="shared" si="8"/>
        <v>10</v>
      </c>
      <c r="J98" s="45">
        <v>0.2254</v>
      </c>
      <c r="K98" s="47">
        <v>-4.2804</v>
      </c>
      <c r="L98" s="10">
        <f t="shared" si="9"/>
        <v>0.002049090909</v>
      </c>
      <c r="M98" s="48">
        <f t="shared" si="10"/>
        <v>3991.579019</v>
      </c>
      <c r="N98" s="6">
        <v>0.9298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45">
        <v>12.0</v>
      </c>
      <c r="C99" s="32">
        <v>20.0</v>
      </c>
      <c r="D99" s="45">
        <v>4.5</v>
      </c>
      <c r="E99" s="32">
        <f t="shared" si="4"/>
        <v>270</v>
      </c>
      <c r="F99" s="32">
        <f t="shared" si="5"/>
        <v>0.27</v>
      </c>
      <c r="G99" s="32">
        <f t="shared" si="6"/>
        <v>7.065</v>
      </c>
      <c r="H99" s="46">
        <f t="shared" si="7"/>
        <v>38.21656051</v>
      </c>
      <c r="I99" s="32">
        <f t="shared" si="8"/>
        <v>10</v>
      </c>
      <c r="J99" s="45">
        <v>0.2254</v>
      </c>
      <c r="K99" s="47">
        <v>-4.2804</v>
      </c>
      <c r="L99" s="10">
        <f t="shared" si="9"/>
        <v>0.001878333333</v>
      </c>
      <c r="M99" s="48">
        <f t="shared" si="10"/>
        <v>4354.449839</v>
      </c>
      <c r="N99" s="6">
        <v>0.9298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45">
        <v>13.0</v>
      </c>
      <c r="C100" s="32">
        <v>20.0</v>
      </c>
      <c r="D100" s="45">
        <v>4.5</v>
      </c>
      <c r="E100" s="32">
        <f t="shared" si="4"/>
        <v>270</v>
      </c>
      <c r="F100" s="32">
        <f t="shared" si="5"/>
        <v>0.27</v>
      </c>
      <c r="G100" s="32">
        <f t="shared" si="6"/>
        <v>7.065</v>
      </c>
      <c r="H100" s="46">
        <f t="shared" si="7"/>
        <v>38.21656051</v>
      </c>
      <c r="I100" s="32">
        <f t="shared" si="8"/>
        <v>10</v>
      </c>
      <c r="J100" s="45">
        <v>0.2254</v>
      </c>
      <c r="K100" s="47">
        <v>-4.2804</v>
      </c>
      <c r="L100" s="10">
        <f t="shared" si="9"/>
        <v>0.001733846154</v>
      </c>
      <c r="M100" s="48">
        <f t="shared" si="10"/>
        <v>4717.320659</v>
      </c>
      <c r="N100" s="6">
        <v>0.9298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45">
        <v>14.0</v>
      </c>
      <c r="C101" s="32">
        <v>20.0</v>
      </c>
      <c r="D101" s="45">
        <v>4.5</v>
      </c>
      <c r="E101" s="32">
        <f t="shared" si="4"/>
        <v>270</v>
      </c>
      <c r="F101" s="32">
        <f t="shared" si="5"/>
        <v>0.27</v>
      </c>
      <c r="G101" s="32">
        <f t="shared" si="6"/>
        <v>7.065</v>
      </c>
      <c r="H101" s="46">
        <f t="shared" si="7"/>
        <v>38.21656051</v>
      </c>
      <c r="I101" s="32">
        <f t="shared" si="8"/>
        <v>10</v>
      </c>
      <c r="J101" s="45">
        <v>0.2254</v>
      </c>
      <c r="K101" s="47">
        <v>-4.2804</v>
      </c>
      <c r="L101" s="10">
        <f t="shared" si="9"/>
        <v>0.00161</v>
      </c>
      <c r="M101" s="48">
        <f t="shared" si="10"/>
        <v>5080.191478</v>
      </c>
      <c r="N101" s="6">
        <v>0.9298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45">
        <v>15.0</v>
      </c>
      <c r="C102" s="32">
        <v>20.0</v>
      </c>
      <c r="D102" s="45">
        <v>4.5</v>
      </c>
      <c r="E102" s="32">
        <f t="shared" si="4"/>
        <v>270</v>
      </c>
      <c r="F102" s="32">
        <f t="shared" si="5"/>
        <v>0.27</v>
      </c>
      <c r="G102" s="32">
        <f t="shared" si="6"/>
        <v>7.065</v>
      </c>
      <c r="H102" s="46">
        <f t="shared" si="7"/>
        <v>38.21656051</v>
      </c>
      <c r="I102" s="32">
        <f t="shared" si="8"/>
        <v>10</v>
      </c>
      <c r="J102" s="45">
        <v>0.2254</v>
      </c>
      <c r="K102" s="47">
        <v>-4.2804</v>
      </c>
      <c r="L102" s="10">
        <f t="shared" si="9"/>
        <v>0.001502666667</v>
      </c>
      <c r="M102" s="48">
        <f t="shared" si="10"/>
        <v>5443.062298</v>
      </c>
      <c r="N102" s="6">
        <v>0.9298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45">
        <v>16.0</v>
      </c>
      <c r="C103" s="32">
        <v>20.0</v>
      </c>
      <c r="D103" s="45">
        <v>4.5</v>
      </c>
      <c r="E103" s="32">
        <f t="shared" si="4"/>
        <v>270</v>
      </c>
      <c r="F103" s="32">
        <f t="shared" si="5"/>
        <v>0.27</v>
      </c>
      <c r="G103" s="32">
        <f t="shared" si="6"/>
        <v>7.065</v>
      </c>
      <c r="H103" s="46">
        <f t="shared" si="7"/>
        <v>38.21656051</v>
      </c>
      <c r="I103" s="32">
        <f t="shared" si="8"/>
        <v>10</v>
      </c>
      <c r="J103" s="45">
        <v>0.2254</v>
      </c>
      <c r="K103" s="47">
        <v>-4.2804</v>
      </c>
      <c r="L103" s="10">
        <f t="shared" si="9"/>
        <v>0.00140875</v>
      </c>
      <c r="M103" s="48">
        <f t="shared" si="10"/>
        <v>5805.933118</v>
      </c>
      <c r="N103" s="6">
        <v>0.9298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45">
        <v>17.0</v>
      </c>
      <c r="C104" s="32">
        <v>20.0</v>
      </c>
      <c r="D104" s="45">
        <v>4.5</v>
      </c>
      <c r="E104" s="32">
        <f t="shared" si="4"/>
        <v>270</v>
      </c>
      <c r="F104" s="32">
        <f t="shared" si="5"/>
        <v>0.27</v>
      </c>
      <c r="G104" s="32">
        <f t="shared" si="6"/>
        <v>7.065</v>
      </c>
      <c r="H104" s="46">
        <f t="shared" si="7"/>
        <v>38.21656051</v>
      </c>
      <c r="I104" s="32">
        <f t="shared" si="8"/>
        <v>10</v>
      </c>
      <c r="J104" s="45">
        <v>0.2254</v>
      </c>
      <c r="K104" s="47">
        <v>-4.2804</v>
      </c>
      <c r="L104" s="10">
        <f t="shared" si="9"/>
        <v>0.001325882353</v>
      </c>
      <c r="M104" s="48">
        <f t="shared" si="10"/>
        <v>6168.803938</v>
      </c>
      <c r="N104" s="6">
        <v>0.9298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45">
        <v>18.0</v>
      </c>
      <c r="C105" s="32">
        <v>20.0</v>
      </c>
      <c r="D105" s="45">
        <v>4.5</v>
      </c>
      <c r="E105" s="32">
        <f t="shared" si="4"/>
        <v>270</v>
      </c>
      <c r="F105" s="32">
        <f t="shared" si="5"/>
        <v>0.27</v>
      </c>
      <c r="G105" s="32">
        <f t="shared" si="6"/>
        <v>7.065</v>
      </c>
      <c r="H105" s="46">
        <f t="shared" si="7"/>
        <v>38.21656051</v>
      </c>
      <c r="I105" s="32">
        <f t="shared" si="8"/>
        <v>10</v>
      </c>
      <c r="J105" s="45">
        <v>0.2254</v>
      </c>
      <c r="K105" s="47">
        <v>-4.2804</v>
      </c>
      <c r="L105" s="10">
        <f t="shared" si="9"/>
        <v>0.001252222222</v>
      </c>
      <c r="M105" s="48">
        <f t="shared" si="10"/>
        <v>6531.674758</v>
      </c>
      <c r="N105" s="6">
        <v>0.9298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45">
        <v>19.0</v>
      </c>
      <c r="C106" s="32">
        <v>20.0</v>
      </c>
      <c r="D106" s="45">
        <v>4.5</v>
      </c>
      <c r="E106" s="32">
        <f t="shared" si="4"/>
        <v>270</v>
      </c>
      <c r="F106" s="32">
        <f t="shared" si="5"/>
        <v>0.27</v>
      </c>
      <c r="G106" s="32">
        <f t="shared" si="6"/>
        <v>7.065</v>
      </c>
      <c r="H106" s="46">
        <f t="shared" si="7"/>
        <v>38.21656051</v>
      </c>
      <c r="I106" s="32">
        <f t="shared" si="8"/>
        <v>10</v>
      </c>
      <c r="J106" s="45">
        <v>0.2254</v>
      </c>
      <c r="K106" s="47">
        <v>-4.2804</v>
      </c>
      <c r="L106" s="10">
        <f t="shared" si="9"/>
        <v>0.001186315789</v>
      </c>
      <c r="M106" s="48">
        <f t="shared" si="10"/>
        <v>6894.545578</v>
      </c>
      <c r="N106" s="6">
        <v>0.9298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45">
        <v>20.0</v>
      </c>
      <c r="C107" s="32">
        <v>20.0</v>
      </c>
      <c r="D107" s="45">
        <v>4.5</v>
      </c>
      <c r="E107" s="32">
        <f t="shared" si="4"/>
        <v>270</v>
      </c>
      <c r="F107" s="32">
        <f t="shared" si="5"/>
        <v>0.27</v>
      </c>
      <c r="G107" s="32">
        <f t="shared" si="6"/>
        <v>7.065</v>
      </c>
      <c r="H107" s="46">
        <f t="shared" si="7"/>
        <v>38.21656051</v>
      </c>
      <c r="I107" s="32">
        <f t="shared" si="8"/>
        <v>10</v>
      </c>
      <c r="J107" s="45">
        <v>0.2254</v>
      </c>
      <c r="K107" s="47">
        <v>-4.2804</v>
      </c>
      <c r="L107" s="10">
        <f t="shared" si="9"/>
        <v>0.001127</v>
      </c>
      <c r="M107" s="48">
        <f t="shared" si="10"/>
        <v>7257.416398</v>
      </c>
      <c r="N107" s="6">
        <v>0.9298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45">
        <v>21.0</v>
      </c>
      <c r="C108" s="32">
        <v>20.0</v>
      </c>
      <c r="D108" s="45">
        <v>4.5</v>
      </c>
      <c r="E108" s="32">
        <f t="shared" si="4"/>
        <v>270</v>
      </c>
      <c r="F108" s="32">
        <f t="shared" si="5"/>
        <v>0.27</v>
      </c>
      <c r="G108" s="32">
        <f t="shared" si="6"/>
        <v>7.065</v>
      </c>
      <c r="H108" s="46">
        <f t="shared" si="7"/>
        <v>38.21656051</v>
      </c>
      <c r="I108" s="32">
        <f t="shared" si="8"/>
        <v>10</v>
      </c>
      <c r="J108" s="45">
        <v>0.2254</v>
      </c>
      <c r="K108" s="47">
        <v>-4.2804</v>
      </c>
      <c r="L108" s="10">
        <f t="shared" si="9"/>
        <v>0.001073333333</v>
      </c>
      <c r="M108" s="48">
        <f t="shared" si="10"/>
        <v>7620.287218</v>
      </c>
      <c r="N108" s="6">
        <v>0.9298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45">
        <v>22.0</v>
      </c>
      <c r="C109" s="32">
        <v>20.0</v>
      </c>
      <c r="D109" s="45">
        <v>4.5</v>
      </c>
      <c r="E109" s="32">
        <f t="shared" si="4"/>
        <v>270</v>
      </c>
      <c r="F109" s="32">
        <f t="shared" si="5"/>
        <v>0.27</v>
      </c>
      <c r="G109" s="32">
        <f t="shared" si="6"/>
        <v>7.065</v>
      </c>
      <c r="H109" s="46">
        <f t="shared" si="7"/>
        <v>38.21656051</v>
      </c>
      <c r="I109" s="32">
        <f t="shared" si="8"/>
        <v>10</v>
      </c>
      <c r="J109" s="45">
        <v>0.2254</v>
      </c>
      <c r="K109" s="47">
        <v>-4.2804</v>
      </c>
      <c r="L109" s="10">
        <f t="shared" si="9"/>
        <v>0.001024545455</v>
      </c>
      <c r="M109" s="48">
        <f t="shared" si="10"/>
        <v>7983.158038</v>
      </c>
      <c r="N109" s="6">
        <v>0.9298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</sheetData>
  <mergeCells count="8">
    <mergeCell ref="I2:P2"/>
    <mergeCell ref="R2:Y2"/>
    <mergeCell ref="B2:G2"/>
    <mergeCell ref="B27:G27"/>
    <mergeCell ref="B28:G28"/>
    <mergeCell ref="B31:I31"/>
    <mergeCell ref="B85:J85"/>
    <mergeCell ref="B58:K5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49"/>
      <c r="B2" s="2" t="s">
        <v>40</v>
      </c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49"/>
      <c r="B3" s="50" t="s">
        <v>1</v>
      </c>
      <c r="C3" s="50" t="s">
        <v>2</v>
      </c>
      <c r="D3" s="50" t="s">
        <v>3</v>
      </c>
      <c r="E3" s="50" t="s">
        <v>4</v>
      </c>
      <c r="F3" s="50" t="s">
        <v>41</v>
      </c>
      <c r="G3" s="50" t="s">
        <v>6</v>
      </c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49"/>
      <c r="B4" s="51" t="s">
        <v>9</v>
      </c>
      <c r="C4" s="51" t="s">
        <v>10</v>
      </c>
      <c r="D4" s="51" t="s">
        <v>11</v>
      </c>
      <c r="E4" s="51" t="s">
        <v>11</v>
      </c>
      <c r="F4" s="51" t="s">
        <v>42</v>
      </c>
      <c r="G4" s="51" t="s">
        <v>12</v>
      </c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49"/>
      <c r="B5" s="6">
        <v>1.0</v>
      </c>
      <c r="C5" s="6">
        <v>1.0</v>
      </c>
      <c r="D5" s="7">
        <v>15.0</v>
      </c>
      <c r="E5" s="7">
        <v>0.26</v>
      </c>
      <c r="F5" s="7">
        <v>0.27</v>
      </c>
      <c r="G5" s="9">
        <v>0.98</v>
      </c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49"/>
      <c r="B6" s="6">
        <v>2.0</v>
      </c>
      <c r="C6" s="6">
        <v>2.0</v>
      </c>
      <c r="D6" s="7">
        <v>15.0</v>
      </c>
      <c r="E6" s="7">
        <v>0.501</v>
      </c>
      <c r="F6" s="7">
        <v>0.54</v>
      </c>
      <c r="G6" s="9">
        <v>0.97</v>
      </c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49"/>
      <c r="B7" s="6">
        <v>3.0</v>
      </c>
      <c r="C7" s="6">
        <v>3.0</v>
      </c>
      <c r="D7" s="7">
        <v>15.0</v>
      </c>
      <c r="E7" s="7">
        <v>0.517</v>
      </c>
      <c r="F7" s="7">
        <v>0.81</v>
      </c>
      <c r="G7" s="9">
        <v>0.97</v>
      </c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49"/>
      <c r="B8" s="6">
        <v>4.0</v>
      </c>
      <c r="C8" s="6">
        <v>4.0</v>
      </c>
      <c r="D8" s="7">
        <v>15.0</v>
      </c>
      <c r="E8" s="7">
        <v>0.575</v>
      </c>
      <c r="F8" s="7">
        <v>1.08</v>
      </c>
      <c r="G8" s="9">
        <v>0.96</v>
      </c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49"/>
      <c r="B9" s="6">
        <v>5.0</v>
      </c>
      <c r="C9" s="6">
        <v>5.0</v>
      </c>
      <c r="D9" s="7">
        <v>15.0</v>
      </c>
      <c r="E9" s="7">
        <v>0.71</v>
      </c>
      <c r="F9" s="7">
        <v>1.35</v>
      </c>
      <c r="G9" s="9">
        <v>0.95</v>
      </c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49"/>
      <c r="B10" s="12">
        <v>6.0</v>
      </c>
      <c r="C10" s="12">
        <v>6.0</v>
      </c>
      <c r="D10" s="13">
        <v>15.0</v>
      </c>
      <c r="E10" s="13">
        <v>0.882</v>
      </c>
      <c r="F10" s="13">
        <v>1.62</v>
      </c>
      <c r="G10" s="15">
        <v>0.94</v>
      </c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49"/>
      <c r="B11" s="6">
        <v>7.0</v>
      </c>
      <c r="C11" s="6">
        <v>7.0</v>
      </c>
      <c r="D11" s="7">
        <v>15.0</v>
      </c>
      <c r="E11" s="7">
        <v>1.699</v>
      </c>
      <c r="F11" s="7">
        <v>1.89</v>
      </c>
      <c r="G11" s="9">
        <v>0.89</v>
      </c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49"/>
      <c r="B12" s="6">
        <v>8.0</v>
      </c>
      <c r="C12" s="6">
        <v>8.0</v>
      </c>
      <c r="D12" s="7">
        <v>15.0</v>
      </c>
      <c r="E12" s="7">
        <v>2.729</v>
      </c>
      <c r="F12" s="7">
        <v>2.16</v>
      </c>
      <c r="G12" s="9">
        <v>0.82</v>
      </c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49"/>
      <c r="B13" s="6">
        <v>9.0</v>
      </c>
      <c r="C13" s="6">
        <v>9.0</v>
      </c>
      <c r="D13" s="7">
        <v>15.0</v>
      </c>
      <c r="E13" s="7">
        <v>4.12</v>
      </c>
      <c r="F13" s="7">
        <v>2.43</v>
      </c>
      <c r="G13" s="9">
        <v>0.73</v>
      </c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49"/>
      <c r="B14" s="6">
        <v>10.0</v>
      </c>
      <c r="C14" s="6">
        <v>10.0</v>
      </c>
      <c r="D14" s="7">
        <v>15.0</v>
      </c>
      <c r="E14" s="7">
        <v>4.176</v>
      </c>
      <c r="F14" s="7">
        <v>2.7</v>
      </c>
      <c r="G14" s="9">
        <v>0.72</v>
      </c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49"/>
      <c r="B15" s="6">
        <v>11.0</v>
      </c>
      <c r="C15" s="6">
        <v>11.0</v>
      </c>
      <c r="D15" s="7">
        <v>15.0</v>
      </c>
      <c r="E15" s="7">
        <v>6.18</v>
      </c>
      <c r="F15" s="7">
        <v>2.97</v>
      </c>
      <c r="G15" s="9">
        <v>0.59</v>
      </c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49"/>
      <c r="B16" s="6">
        <v>12.0</v>
      </c>
      <c r="C16" s="6">
        <v>12.0</v>
      </c>
      <c r="D16" s="7">
        <v>15.0</v>
      </c>
      <c r="E16" s="7">
        <v>7.33</v>
      </c>
      <c r="F16" s="7">
        <v>3.24</v>
      </c>
      <c r="G16" s="9">
        <v>0.51</v>
      </c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49"/>
      <c r="B17" s="6">
        <v>13.0</v>
      </c>
      <c r="C17" s="6">
        <v>13.0</v>
      </c>
      <c r="D17" s="7">
        <v>15.0</v>
      </c>
      <c r="E17" s="7">
        <v>8.796</v>
      </c>
      <c r="F17" s="7">
        <v>3.51</v>
      </c>
      <c r="G17" s="9">
        <v>0.41</v>
      </c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9"/>
      <c r="B18" s="6">
        <v>14.0</v>
      </c>
      <c r="C18" s="6">
        <v>14.0</v>
      </c>
      <c r="D18" s="7">
        <v>15.0</v>
      </c>
      <c r="E18" s="7">
        <v>11.064</v>
      </c>
      <c r="F18" s="7">
        <v>3.78</v>
      </c>
      <c r="G18" s="9">
        <v>0.26</v>
      </c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49"/>
      <c r="B19" s="6">
        <v>15.0</v>
      </c>
      <c r="C19" s="6">
        <v>15.0</v>
      </c>
      <c r="D19" s="7">
        <v>15.0</v>
      </c>
      <c r="E19" s="7">
        <v>13.662</v>
      </c>
      <c r="F19" s="7">
        <v>4.05</v>
      </c>
      <c r="G19" s="9">
        <v>0.09</v>
      </c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49"/>
      <c r="B20" s="6">
        <v>16.0</v>
      </c>
      <c r="C20" s="6">
        <v>16.0</v>
      </c>
      <c r="D20" s="7">
        <v>15.0</v>
      </c>
      <c r="E20" s="7">
        <v>14.218</v>
      </c>
      <c r="F20" s="7">
        <v>4.32</v>
      </c>
      <c r="G20" s="9">
        <v>0.05</v>
      </c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49"/>
      <c r="B21" s="6">
        <v>17.0</v>
      </c>
      <c r="C21" s="6">
        <v>17.0</v>
      </c>
      <c r="D21" s="7">
        <v>15.0</v>
      </c>
      <c r="E21" s="7">
        <v>14.056</v>
      </c>
      <c r="F21" s="7">
        <v>4.59</v>
      </c>
      <c r="G21" s="9">
        <v>0.06</v>
      </c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>
      <c r="A22" s="49"/>
      <c r="B22" s="18">
        <v>18.0</v>
      </c>
      <c r="C22" s="18">
        <v>18.0</v>
      </c>
      <c r="D22" s="19">
        <v>15.0</v>
      </c>
      <c r="E22" s="19">
        <v>14.381</v>
      </c>
      <c r="F22" s="19">
        <v>4.86</v>
      </c>
      <c r="G22" s="21">
        <v>0.04</v>
      </c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49"/>
      <c r="B23" s="24" t="s">
        <v>13</v>
      </c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49"/>
      <c r="B24" s="25" t="s">
        <v>14</v>
      </c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49"/>
      <c r="B27" s="26" t="s">
        <v>43</v>
      </c>
      <c r="I27" s="1"/>
      <c r="J27" s="1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49"/>
      <c r="B28" s="50" t="s">
        <v>16</v>
      </c>
      <c r="C28" s="52" t="s">
        <v>17</v>
      </c>
      <c r="D28" s="53" t="s">
        <v>18</v>
      </c>
      <c r="E28" s="53" t="s">
        <v>19</v>
      </c>
      <c r="F28" s="53" t="s">
        <v>44</v>
      </c>
      <c r="G28" s="53" t="s">
        <v>45</v>
      </c>
      <c r="H28" s="53" t="s">
        <v>24</v>
      </c>
      <c r="I28" s="1"/>
      <c r="J28" s="1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49"/>
      <c r="B29" s="54" t="s">
        <v>25</v>
      </c>
      <c r="C29" s="55" t="s">
        <v>26</v>
      </c>
      <c r="D29" s="55" t="s">
        <v>11</v>
      </c>
      <c r="E29" s="56"/>
      <c r="F29" s="55" t="s">
        <v>39</v>
      </c>
      <c r="G29" s="55" t="s">
        <v>46</v>
      </c>
      <c r="H29" s="56"/>
      <c r="I29" s="1"/>
      <c r="J29" s="1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49"/>
      <c r="B30" s="32">
        <v>20.0</v>
      </c>
      <c r="C30" s="32">
        <f t="shared" ref="C30:C51" si="1">4.5*0.06</f>
        <v>0.27</v>
      </c>
      <c r="D30" s="33"/>
      <c r="E30" s="33"/>
      <c r="F30" s="33"/>
      <c r="G30" s="33"/>
      <c r="H30" s="33"/>
      <c r="I30" s="1"/>
      <c r="J30" s="1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49"/>
      <c r="B31" s="32">
        <v>20.0</v>
      </c>
      <c r="C31" s="32">
        <f t="shared" si="1"/>
        <v>0.27</v>
      </c>
      <c r="D31" s="33"/>
      <c r="E31" s="33"/>
      <c r="F31" s="33"/>
      <c r="G31" s="33"/>
      <c r="H31" s="33"/>
      <c r="I31" s="1"/>
      <c r="J31" s="1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>
      <c r="A32" s="49"/>
      <c r="B32" s="32">
        <v>20.0</v>
      </c>
      <c r="C32" s="32">
        <f t="shared" si="1"/>
        <v>0.27</v>
      </c>
      <c r="D32" s="33"/>
      <c r="E32" s="33"/>
      <c r="F32" s="33"/>
      <c r="G32" s="33"/>
      <c r="H32" s="33"/>
      <c r="I32" s="1"/>
      <c r="J32" s="1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>
      <c r="A33" s="49"/>
      <c r="B33" s="32">
        <v>20.0</v>
      </c>
      <c r="C33" s="32">
        <f t="shared" si="1"/>
        <v>0.27</v>
      </c>
      <c r="D33" s="33"/>
      <c r="E33" s="33"/>
      <c r="F33" s="33"/>
      <c r="G33" s="33"/>
      <c r="H33" s="33"/>
      <c r="I33" s="1"/>
      <c r="J33" s="1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49"/>
      <c r="B34" s="32">
        <v>20.0</v>
      </c>
      <c r="C34" s="32">
        <f t="shared" si="1"/>
        <v>0.27</v>
      </c>
      <c r="D34" s="33"/>
      <c r="E34" s="33"/>
      <c r="F34" s="33"/>
      <c r="G34" s="33"/>
      <c r="H34" s="33"/>
      <c r="I34" s="1"/>
      <c r="J34" s="1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49"/>
      <c r="B35" s="32">
        <v>20.0</v>
      </c>
      <c r="C35" s="32">
        <f t="shared" si="1"/>
        <v>0.27</v>
      </c>
      <c r="D35" s="33"/>
      <c r="E35" s="33"/>
      <c r="F35" s="33"/>
      <c r="G35" s="33"/>
      <c r="H35" s="33"/>
      <c r="I35" s="1"/>
      <c r="J35" s="1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49"/>
      <c r="B36" s="32">
        <v>20.0</v>
      </c>
      <c r="C36" s="32">
        <f t="shared" si="1"/>
        <v>0.27</v>
      </c>
      <c r="D36" s="33"/>
      <c r="E36" s="33"/>
      <c r="F36" s="33"/>
      <c r="G36" s="33"/>
      <c r="H36" s="33"/>
      <c r="I36" s="1"/>
      <c r="J36" s="1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49"/>
      <c r="B37" s="32">
        <v>20.0</v>
      </c>
      <c r="C37" s="32">
        <f t="shared" si="1"/>
        <v>0.27</v>
      </c>
      <c r="D37" s="33"/>
      <c r="E37" s="33"/>
      <c r="F37" s="33"/>
      <c r="G37" s="33"/>
      <c r="H37" s="33"/>
      <c r="I37" s="1"/>
      <c r="J37" s="1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49"/>
      <c r="B38" s="32">
        <v>20.0</v>
      </c>
      <c r="C38" s="32">
        <f t="shared" si="1"/>
        <v>0.27</v>
      </c>
      <c r="D38" s="33"/>
      <c r="E38" s="33"/>
      <c r="F38" s="33"/>
      <c r="G38" s="33"/>
      <c r="H38" s="33"/>
      <c r="I38" s="1"/>
      <c r="J38" s="1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49"/>
      <c r="B39" s="32">
        <v>20.0</v>
      </c>
      <c r="C39" s="32">
        <f t="shared" si="1"/>
        <v>0.27</v>
      </c>
      <c r="D39" s="33"/>
      <c r="E39" s="33"/>
      <c r="F39" s="33"/>
      <c r="G39" s="33"/>
      <c r="H39" s="33"/>
      <c r="I39" s="1"/>
      <c r="J39" s="1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>
      <c r="A40" s="49"/>
      <c r="B40" s="32">
        <v>20.0</v>
      </c>
      <c r="C40" s="32">
        <f t="shared" si="1"/>
        <v>0.27</v>
      </c>
      <c r="D40" s="33"/>
      <c r="E40" s="33"/>
      <c r="F40" s="33"/>
      <c r="G40" s="33"/>
      <c r="H40" s="33"/>
      <c r="I40" s="1"/>
      <c r="J40" s="1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>
      <c r="A41" s="49"/>
      <c r="B41" s="32">
        <v>20.0</v>
      </c>
      <c r="C41" s="32">
        <f t="shared" si="1"/>
        <v>0.27</v>
      </c>
      <c r="D41" s="33"/>
      <c r="E41" s="33"/>
      <c r="F41" s="33"/>
      <c r="G41" s="33"/>
      <c r="H41" s="33"/>
      <c r="I41" s="1"/>
      <c r="J41" s="1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>
      <c r="A42" s="49"/>
      <c r="B42" s="32">
        <v>20.0</v>
      </c>
      <c r="C42" s="32">
        <f t="shared" si="1"/>
        <v>0.27</v>
      </c>
      <c r="D42" s="33"/>
      <c r="E42" s="33"/>
      <c r="F42" s="33"/>
      <c r="G42" s="33"/>
      <c r="H42" s="33"/>
      <c r="I42" s="1"/>
      <c r="J42" s="1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>
      <c r="A43" s="49"/>
      <c r="B43" s="32">
        <v>20.0</v>
      </c>
      <c r="C43" s="32">
        <f t="shared" si="1"/>
        <v>0.27</v>
      </c>
      <c r="D43" s="33"/>
      <c r="E43" s="33"/>
      <c r="F43" s="33"/>
      <c r="G43" s="33"/>
      <c r="H43" s="33"/>
      <c r="I43" s="1"/>
      <c r="J43" s="1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>
      <c r="A44" s="49"/>
      <c r="B44" s="32">
        <v>20.0</v>
      </c>
      <c r="C44" s="32">
        <f t="shared" si="1"/>
        <v>0.27</v>
      </c>
      <c r="D44" s="33"/>
      <c r="E44" s="33"/>
      <c r="F44" s="33"/>
      <c r="G44" s="33"/>
      <c r="H44" s="33"/>
      <c r="I44" s="1"/>
      <c r="J44" s="1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49"/>
      <c r="B45" s="32">
        <v>20.0</v>
      </c>
      <c r="C45" s="32">
        <f t="shared" si="1"/>
        <v>0.27</v>
      </c>
      <c r="D45" s="33"/>
      <c r="E45" s="33"/>
      <c r="F45" s="33"/>
      <c r="G45" s="33"/>
      <c r="H45" s="33"/>
      <c r="I45" s="1"/>
      <c r="J45" s="1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49"/>
      <c r="B46" s="32">
        <v>20.0</v>
      </c>
      <c r="C46" s="32">
        <f t="shared" si="1"/>
        <v>0.27</v>
      </c>
      <c r="D46" s="33"/>
      <c r="E46" s="33"/>
      <c r="F46" s="33"/>
      <c r="G46" s="33"/>
      <c r="H46" s="33"/>
      <c r="I46" s="1"/>
      <c r="J46" s="1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49"/>
      <c r="B47" s="32">
        <v>20.0</v>
      </c>
      <c r="C47" s="32">
        <f t="shared" si="1"/>
        <v>0.27</v>
      </c>
      <c r="D47" s="33"/>
      <c r="E47" s="33"/>
      <c r="F47" s="33"/>
      <c r="G47" s="33"/>
      <c r="H47" s="33"/>
      <c r="I47" s="1"/>
      <c r="J47" s="1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>
      <c r="A48" s="49"/>
      <c r="B48" s="32">
        <v>20.0</v>
      </c>
      <c r="C48" s="32">
        <f t="shared" si="1"/>
        <v>0.27</v>
      </c>
      <c r="D48" s="33"/>
      <c r="E48" s="33"/>
      <c r="F48" s="33"/>
      <c r="G48" s="33"/>
      <c r="H48" s="33"/>
      <c r="I48" s="1"/>
      <c r="J48" s="1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49"/>
      <c r="B49" s="32">
        <v>20.0</v>
      </c>
      <c r="C49" s="32">
        <f t="shared" si="1"/>
        <v>0.27</v>
      </c>
      <c r="D49" s="33"/>
      <c r="E49" s="33"/>
      <c r="F49" s="33"/>
      <c r="G49" s="33"/>
      <c r="H49" s="33"/>
      <c r="I49" s="1"/>
      <c r="J49" s="1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49"/>
      <c r="B50" s="32">
        <v>20.0</v>
      </c>
      <c r="C50" s="32">
        <f t="shared" si="1"/>
        <v>0.27</v>
      </c>
      <c r="D50" s="33"/>
      <c r="E50" s="33"/>
      <c r="F50" s="33"/>
      <c r="G50" s="33"/>
      <c r="H50" s="33"/>
      <c r="I50" s="1"/>
      <c r="J50" s="1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49"/>
      <c r="B51" s="32">
        <v>20.0</v>
      </c>
      <c r="C51" s="32">
        <f t="shared" si="1"/>
        <v>0.27</v>
      </c>
      <c r="D51" s="33"/>
      <c r="E51" s="33"/>
      <c r="F51" s="33"/>
      <c r="G51" s="33"/>
      <c r="H51" s="33"/>
      <c r="I51" s="1"/>
      <c r="J51" s="1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49"/>
      <c r="B52" s="1"/>
      <c r="C52" s="1"/>
      <c r="D52" s="1"/>
      <c r="E52" s="1"/>
      <c r="F52" s="1"/>
      <c r="G52" s="1"/>
      <c r="H52" s="1"/>
      <c r="I52" s="1"/>
      <c r="J52" s="1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>
      <c r="A53" s="49"/>
      <c r="B53" s="1"/>
      <c r="C53" s="1"/>
      <c r="D53" s="1"/>
      <c r="E53" s="1"/>
      <c r="F53" s="1"/>
      <c r="G53" s="1"/>
      <c r="H53" s="1"/>
      <c r="I53" s="1"/>
      <c r="J53" s="1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>
      <c r="A54" s="49"/>
      <c r="B54" s="26" t="s">
        <v>15</v>
      </c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>
      <c r="A55" s="49"/>
      <c r="B55" s="57" t="s">
        <v>16</v>
      </c>
      <c r="C55" s="53" t="s">
        <v>17</v>
      </c>
      <c r="D55" s="53" t="s">
        <v>18</v>
      </c>
      <c r="E55" s="53" t="s">
        <v>19</v>
      </c>
      <c r="F55" s="53" t="s">
        <v>20</v>
      </c>
      <c r="G55" s="53" t="s">
        <v>21</v>
      </c>
      <c r="H55" s="53" t="s">
        <v>22</v>
      </c>
      <c r="I55" s="58" t="s">
        <v>23</v>
      </c>
      <c r="J55" s="50" t="s">
        <v>24</v>
      </c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>
      <c r="A56" s="49"/>
      <c r="B56" s="55" t="s">
        <v>25</v>
      </c>
      <c r="C56" s="55" t="s">
        <v>26</v>
      </c>
      <c r="D56" s="55" t="s">
        <v>11</v>
      </c>
      <c r="E56" s="56"/>
      <c r="F56" s="56"/>
      <c r="G56" s="55" t="s">
        <v>27</v>
      </c>
      <c r="H56" s="55" t="s">
        <v>10</v>
      </c>
      <c r="I56" s="59" t="s">
        <v>10</v>
      </c>
      <c r="J56" s="60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>
      <c r="A57" s="49"/>
      <c r="B57" s="32">
        <v>20.0</v>
      </c>
      <c r="C57" s="32">
        <f t="shared" ref="C57:C78" si="2">4.5*0.06</f>
        <v>0.27</v>
      </c>
      <c r="D57" s="33"/>
      <c r="E57" s="33"/>
      <c r="F57" s="33"/>
      <c r="G57" s="33"/>
      <c r="H57" s="33"/>
      <c r="I57" s="38"/>
      <c r="J57" s="3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>
      <c r="A58" s="49"/>
      <c r="B58" s="32">
        <v>20.0</v>
      </c>
      <c r="C58" s="32">
        <f t="shared" si="2"/>
        <v>0.27</v>
      </c>
      <c r="D58" s="33"/>
      <c r="E58" s="33"/>
      <c r="F58" s="33"/>
      <c r="G58" s="33"/>
      <c r="H58" s="33"/>
      <c r="I58" s="38"/>
      <c r="J58" s="3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>
      <c r="A59" s="49"/>
      <c r="B59" s="32">
        <v>20.0</v>
      </c>
      <c r="C59" s="32">
        <f t="shared" si="2"/>
        <v>0.27</v>
      </c>
      <c r="D59" s="33"/>
      <c r="E59" s="33"/>
      <c r="F59" s="33"/>
      <c r="G59" s="33"/>
      <c r="H59" s="33"/>
      <c r="I59" s="38"/>
      <c r="J59" s="3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49"/>
      <c r="B60" s="32">
        <v>20.0</v>
      </c>
      <c r="C60" s="32">
        <f t="shared" si="2"/>
        <v>0.27</v>
      </c>
      <c r="D60" s="33"/>
      <c r="E60" s="33"/>
      <c r="F60" s="33"/>
      <c r="G60" s="33"/>
      <c r="H60" s="33"/>
      <c r="I60" s="38"/>
      <c r="J60" s="3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49"/>
      <c r="B61" s="32">
        <v>20.0</v>
      </c>
      <c r="C61" s="32">
        <f t="shared" si="2"/>
        <v>0.27</v>
      </c>
      <c r="D61" s="33"/>
      <c r="E61" s="33"/>
      <c r="F61" s="33"/>
      <c r="G61" s="33"/>
      <c r="H61" s="33"/>
      <c r="I61" s="38"/>
      <c r="J61" s="3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49"/>
      <c r="B62" s="32">
        <v>20.0</v>
      </c>
      <c r="C62" s="32">
        <f t="shared" si="2"/>
        <v>0.27</v>
      </c>
      <c r="D62" s="33"/>
      <c r="E62" s="33"/>
      <c r="F62" s="33"/>
      <c r="G62" s="33"/>
      <c r="H62" s="33"/>
      <c r="I62" s="38"/>
      <c r="J62" s="3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>
      <c r="A63" s="49"/>
      <c r="B63" s="32">
        <v>20.0</v>
      </c>
      <c r="C63" s="32">
        <f t="shared" si="2"/>
        <v>0.27</v>
      </c>
      <c r="D63" s="33"/>
      <c r="E63" s="33"/>
      <c r="F63" s="33"/>
      <c r="G63" s="33"/>
      <c r="H63" s="33"/>
      <c r="I63" s="38"/>
      <c r="J63" s="3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>
      <c r="A64" s="49"/>
      <c r="B64" s="32">
        <v>20.0</v>
      </c>
      <c r="C64" s="32">
        <f t="shared" si="2"/>
        <v>0.27</v>
      </c>
      <c r="D64" s="33"/>
      <c r="E64" s="33"/>
      <c r="F64" s="33"/>
      <c r="G64" s="33"/>
      <c r="H64" s="33"/>
      <c r="I64" s="38"/>
      <c r="J64" s="3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>
      <c r="A65" s="49"/>
      <c r="B65" s="32">
        <v>20.0</v>
      </c>
      <c r="C65" s="32">
        <f t="shared" si="2"/>
        <v>0.27</v>
      </c>
      <c r="D65" s="33"/>
      <c r="E65" s="33"/>
      <c r="F65" s="33"/>
      <c r="G65" s="33"/>
      <c r="H65" s="33"/>
      <c r="I65" s="38"/>
      <c r="J65" s="3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49"/>
      <c r="B66" s="32">
        <v>20.0</v>
      </c>
      <c r="C66" s="32">
        <f t="shared" si="2"/>
        <v>0.27</v>
      </c>
      <c r="D66" s="33"/>
      <c r="E66" s="33"/>
      <c r="F66" s="33"/>
      <c r="G66" s="33"/>
      <c r="H66" s="33"/>
      <c r="I66" s="38"/>
      <c r="J66" s="3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>
      <c r="A67" s="49"/>
      <c r="B67" s="32">
        <v>20.0</v>
      </c>
      <c r="C67" s="32">
        <f t="shared" si="2"/>
        <v>0.27</v>
      </c>
      <c r="D67" s="33"/>
      <c r="E67" s="33"/>
      <c r="F67" s="33"/>
      <c r="G67" s="33"/>
      <c r="H67" s="33"/>
      <c r="I67" s="38"/>
      <c r="J67" s="3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49"/>
      <c r="B68" s="32">
        <v>20.0</v>
      </c>
      <c r="C68" s="32">
        <f t="shared" si="2"/>
        <v>0.27</v>
      </c>
      <c r="D68" s="33"/>
      <c r="E68" s="33"/>
      <c r="F68" s="33"/>
      <c r="G68" s="33"/>
      <c r="H68" s="33"/>
      <c r="I68" s="38"/>
      <c r="J68" s="3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49"/>
      <c r="B69" s="32">
        <v>20.0</v>
      </c>
      <c r="C69" s="32">
        <f t="shared" si="2"/>
        <v>0.27</v>
      </c>
      <c r="D69" s="33"/>
      <c r="E69" s="33"/>
      <c r="F69" s="33"/>
      <c r="G69" s="33"/>
      <c r="H69" s="33"/>
      <c r="I69" s="38"/>
      <c r="J69" s="3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49"/>
      <c r="B70" s="32">
        <v>20.0</v>
      </c>
      <c r="C70" s="32">
        <f t="shared" si="2"/>
        <v>0.27</v>
      </c>
      <c r="D70" s="33"/>
      <c r="E70" s="33"/>
      <c r="F70" s="33"/>
      <c r="G70" s="33"/>
      <c r="H70" s="33"/>
      <c r="I70" s="38"/>
      <c r="J70" s="3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49"/>
      <c r="B71" s="32">
        <v>20.0</v>
      </c>
      <c r="C71" s="32">
        <f t="shared" si="2"/>
        <v>0.27</v>
      </c>
      <c r="D71" s="33"/>
      <c r="E71" s="33"/>
      <c r="F71" s="33"/>
      <c r="G71" s="33"/>
      <c r="H71" s="33"/>
      <c r="I71" s="38"/>
      <c r="J71" s="3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49"/>
      <c r="B72" s="32">
        <v>20.0</v>
      </c>
      <c r="C72" s="32">
        <f t="shared" si="2"/>
        <v>0.27</v>
      </c>
      <c r="D72" s="33"/>
      <c r="E72" s="33"/>
      <c r="F72" s="33"/>
      <c r="G72" s="33"/>
      <c r="H72" s="33"/>
      <c r="I72" s="38"/>
      <c r="J72" s="3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49"/>
      <c r="B73" s="32">
        <v>20.0</v>
      </c>
      <c r="C73" s="32">
        <f t="shared" si="2"/>
        <v>0.27</v>
      </c>
      <c r="D73" s="33"/>
      <c r="E73" s="33"/>
      <c r="F73" s="33"/>
      <c r="G73" s="33"/>
      <c r="H73" s="33"/>
      <c r="I73" s="38"/>
      <c r="J73" s="3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49"/>
      <c r="B74" s="32">
        <v>20.0</v>
      </c>
      <c r="C74" s="32">
        <f t="shared" si="2"/>
        <v>0.27</v>
      </c>
      <c r="D74" s="33"/>
      <c r="E74" s="33"/>
      <c r="F74" s="33"/>
      <c r="G74" s="33"/>
      <c r="H74" s="33"/>
      <c r="I74" s="38"/>
      <c r="J74" s="3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49"/>
      <c r="B75" s="32">
        <v>20.0</v>
      </c>
      <c r="C75" s="32">
        <f t="shared" si="2"/>
        <v>0.27</v>
      </c>
      <c r="D75" s="33"/>
      <c r="E75" s="33"/>
      <c r="F75" s="33"/>
      <c r="G75" s="33"/>
      <c r="H75" s="33"/>
      <c r="I75" s="38"/>
      <c r="J75" s="3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49"/>
      <c r="B76" s="32">
        <v>20.0</v>
      </c>
      <c r="C76" s="32">
        <f t="shared" si="2"/>
        <v>0.27</v>
      </c>
      <c r="D76" s="33"/>
      <c r="E76" s="33"/>
      <c r="F76" s="33"/>
      <c r="G76" s="33"/>
      <c r="H76" s="33"/>
      <c r="I76" s="38"/>
      <c r="J76" s="3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49"/>
      <c r="B77" s="32">
        <v>20.0</v>
      </c>
      <c r="C77" s="32">
        <f t="shared" si="2"/>
        <v>0.27</v>
      </c>
      <c r="D77" s="33"/>
      <c r="E77" s="33"/>
      <c r="F77" s="33"/>
      <c r="G77" s="33"/>
      <c r="H77" s="33"/>
      <c r="I77" s="38"/>
      <c r="J77" s="3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49"/>
      <c r="B78" s="32">
        <v>20.0</v>
      </c>
      <c r="C78" s="32">
        <f t="shared" si="2"/>
        <v>0.27</v>
      </c>
      <c r="D78" s="33"/>
      <c r="E78" s="33"/>
      <c r="F78" s="33"/>
      <c r="G78" s="33"/>
      <c r="H78" s="33"/>
      <c r="I78" s="38"/>
      <c r="J78" s="3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>
      <c r="A79" s="49"/>
      <c r="B79" s="1"/>
      <c r="C79" s="1"/>
      <c r="D79" s="1"/>
      <c r="E79" s="1"/>
      <c r="F79" s="1"/>
      <c r="G79" s="1"/>
      <c r="H79" s="1"/>
      <c r="I79" s="1"/>
      <c r="J79" s="1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>
      <c r="A80" s="49"/>
      <c r="B80" s="1"/>
      <c r="C80" s="1"/>
      <c r="D80" s="1"/>
      <c r="E80" s="1"/>
      <c r="F80" s="1"/>
      <c r="G80" s="1"/>
      <c r="H80" s="1"/>
      <c r="I80" s="1"/>
      <c r="J80" s="1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>
      <c r="A81" s="49"/>
      <c r="B81" s="2" t="s">
        <v>28</v>
      </c>
      <c r="J81" s="40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>
      <c r="A82" s="49"/>
      <c r="B82" s="57" t="s">
        <v>16</v>
      </c>
      <c r="C82" s="53" t="s">
        <v>17</v>
      </c>
      <c r="D82" s="53" t="s">
        <v>18</v>
      </c>
      <c r="E82" s="53" t="s">
        <v>19</v>
      </c>
      <c r="F82" s="53" t="s">
        <v>20</v>
      </c>
      <c r="G82" s="57" t="s">
        <v>47</v>
      </c>
      <c r="H82" s="61" t="s">
        <v>1</v>
      </c>
      <c r="I82" s="50" t="s">
        <v>24</v>
      </c>
      <c r="J82" s="26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>
      <c r="A83" s="49"/>
      <c r="B83" s="55" t="s">
        <v>25</v>
      </c>
      <c r="C83" s="55" t="s">
        <v>26</v>
      </c>
      <c r="D83" s="55" t="s">
        <v>11</v>
      </c>
      <c r="E83" s="56"/>
      <c r="F83" s="56"/>
      <c r="G83" s="62" t="s">
        <v>39</v>
      </c>
      <c r="H83" s="63" t="s">
        <v>38</v>
      </c>
      <c r="I83" s="64"/>
      <c r="J83" s="40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>
      <c r="A84" s="49"/>
      <c r="B84" s="32">
        <v>20.0</v>
      </c>
      <c r="C84" s="32">
        <f t="shared" ref="C84:C105" si="3">4.5*0.06</f>
        <v>0.27</v>
      </c>
      <c r="D84" s="33"/>
      <c r="E84" s="33"/>
      <c r="F84" s="33"/>
      <c r="G84" s="33"/>
      <c r="H84" s="38"/>
      <c r="I84" s="39"/>
      <c r="J84" s="40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>
      <c r="A85" s="49"/>
      <c r="B85" s="32">
        <v>20.0</v>
      </c>
      <c r="C85" s="32">
        <f t="shared" si="3"/>
        <v>0.27</v>
      </c>
      <c r="D85" s="33"/>
      <c r="E85" s="33"/>
      <c r="F85" s="33"/>
      <c r="G85" s="33"/>
      <c r="H85" s="38"/>
      <c r="I85" s="39"/>
      <c r="J85" s="40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>
      <c r="A86" s="49"/>
      <c r="B86" s="32">
        <v>20.0</v>
      </c>
      <c r="C86" s="32">
        <f t="shared" si="3"/>
        <v>0.27</v>
      </c>
      <c r="D86" s="33"/>
      <c r="E86" s="33"/>
      <c r="F86" s="33"/>
      <c r="G86" s="33"/>
      <c r="H86" s="38"/>
      <c r="I86" s="39"/>
      <c r="J86" s="40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>
      <c r="A87" s="49"/>
      <c r="B87" s="32">
        <v>20.0</v>
      </c>
      <c r="C87" s="32">
        <f t="shared" si="3"/>
        <v>0.27</v>
      </c>
      <c r="D87" s="33"/>
      <c r="E87" s="33"/>
      <c r="F87" s="33"/>
      <c r="G87" s="33"/>
      <c r="H87" s="38"/>
      <c r="I87" s="39"/>
      <c r="J87" s="40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>
      <c r="A88" s="49"/>
      <c r="B88" s="32">
        <v>20.0</v>
      </c>
      <c r="C88" s="32">
        <f t="shared" si="3"/>
        <v>0.27</v>
      </c>
      <c r="D88" s="33"/>
      <c r="E88" s="33"/>
      <c r="F88" s="33"/>
      <c r="G88" s="33"/>
      <c r="H88" s="38"/>
      <c r="I88" s="39"/>
      <c r="J88" s="40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>
      <c r="A89" s="49"/>
      <c r="B89" s="32">
        <v>20.0</v>
      </c>
      <c r="C89" s="32">
        <f t="shared" si="3"/>
        <v>0.27</v>
      </c>
      <c r="D89" s="33"/>
      <c r="E89" s="33"/>
      <c r="F89" s="33"/>
      <c r="G89" s="33"/>
      <c r="H89" s="38"/>
      <c r="I89" s="39"/>
      <c r="J89" s="40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49"/>
      <c r="B90" s="32">
        <v>20.0</v>
      </c>
      <c r="C90" s="32">
        <f t="shared" si="3"/>
        <v>0.27</v>
      </c>
      <c r="D90" s="33"/>
      <c r="E90" s="33"/>
      <c r="F90" s="33"/>
      <c r="G90" s="33"/>
      <c r="H90" s="38"/>
      <c r="I90" s="39"/>
      <c r="J90" s="40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>
      <c r="A91" s="49"/>
      <c r="B91" s="32">
        <v>20.0</v>
      </c>
      <c r="C91" s="32">
        <f t="shared" si="3"/>
        <v>0.27</v>
      </c>
      <c r="D91" s="33"/>
      <c r="E91" s="33"/>
      <c r="F91" s="33"/>
      <c r="G91" s="33"/>
      <c r="H91" s="38"/>
      <c r="I91" s="39"/>
      <c r="J91" s="40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>
      <c r="A92" s="49"/>
      <c r="B92" s="32">
        <v>20.0</v>
      </c>
      <c r="C92" s="32">
        <f t="shared" si="3"/>
        <v>0.27</v>
      </c>
      <c r="D92" s="33"/>
      <c r="E92" s="33"/>
      <c r="F92" s="33"/>
      <c r="G92" s="33"/>
      <c r="H92" s="38"/>
      <c r="I92" s="39"/>
      <c r="J92" s="40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49"/>
      <c r="B93" s="32">
        <v>20.0</v>
      </c>
      <c r="C93" s="32">
        <f t="shared" si="3"/>
        <v>0.27</v>
      </c>
      <c r="D93" s="33"/>
      <c r="E93" s="33"/>
      <c r="F93" s="33"/>
      <c r="G93" s="33"/>
      <c r="H93" s="38"/>
      <c r="I93" s="39"/>
      <c r="J93" s="40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>
      <c r="A94" s="49"/>
      <c r="B94" s="32">
        <v>20.0</v>
      </c>
      <c r="C94" s="32">
        <f t="shared" si="3"/>
        <v>0.27</v>
      </c>
      <c r="D94" s="33"/>
      <c r="E94" s="33"/>
      <c r="F94" s="33"/>
      <c r="G94" s="33"/>
      <c r="H94" s="38"/>
      <c r="I94" s="39"/>
      <c r="J94" s="40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>
      <c r="A95" s="49"/>
      <c r="B95" s="32">
        <v>20.0</v>
      </c>
      <c r="C95" s="32">
        <f t="shared" si="3"/>
        <v>0.27</v>
      </c>
      <c r="D95" s="33"/>
      <c r="E95" s="33"/>
      <c r="F95" s="33"/>
      <c r="G95" s="33"/>
      <c r="H95" s="38"/>
      <c r="I95" s="39"/>
      <c r="J95" s="40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49"/>
      <c r="B96" s="32">
        <v>20.0</v>
      </c>
      <c r="C96" s="32">
        <f t="shared" si="3"/>
        <v>0.27</v>
      </c>
      <c r="D96" s="33"/>
      <c r="E96" s="33"/>
      <c r="F96" s="33"/>
      <c r="G96" s="33"/>
      <c r="H96" s="38"/>
      <c r="I96" s="39"/>
      <c r="J96" s="40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>
      <c r="A97" s="49"/>
      <c r="B97" s="32">
        <v>20.0</v>
      </c>
      <c r="C97" s="32">
        <f t="shared" si="3"/>
        <v>0.27</v>
      </c>
      <c r="D97" s="33"/>
      <c r="E97" s="33"/>
      <c r="F97" s="33"/>
      <c r="G97" s="33"/>
      <c r="H97" s="38"/>
      <c r="I97" s="39"/>
      <c r="J97" s="40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>
      <c r="A98" s="49"/>
      <c r="B98" s="32">
        <v>20.0</v>
      </c>
      <c r="C98" s="32">
        <f t="shared" si="3"/>
        <v>0.27</v>
      </c>
      <c r="D98" s="33"/>
      <c r="E98" s="33"/>
      <c r="F98" s="33"/>
      <c r="G98" s="33"/>
      <c r="H98" s="38"/>
      <c r="I98" s="39"/>
      <c r="J98" s="40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>
      <c r="A99" s="49"/>
      <c r="B99" s="32">
        <v>20.0</v>
      </c>
      <c r="C99" s="32">
        <f t="shared" si="3"/>
        <v>0.27</v>
      </c>
      <c r="D99" s="33"/>
      <c r="E99" s="33"/>
      <c r="F99" s="33"/>
      <c r="G99" s="33"/>
      <c r="H99" s="38"/>
      <c r="I99" s="39"/>
      <c r="J99" s="40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>
      <c r="A100" s="49"/>
      <c r="B100" s="32">
        <v>20.0</v>
      </c>
      <c r="C100" s="32">
        <f t="shared" si="3"/>
        <v>0.27</v>
      </c>
      <c r="D100" s="33"/>
      <c r="E100" s="33"/>
      <c r="F100" s="33"/>
      <c r="G100" s="33"/>
      <c r="H100" s="38"/>
      <c r="I100" s="39"/>
      <c r="J100" s="40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>
      <c r="A101" s="49"/>
      <c r="B101" s="32">
        <v>20.0</v>
      </c>
      <c r="C101" s="32">
        <f t="shared" si="3"/>
        <v>0.27</v>
      </c>
      <c r="D101" s="33"/>
      <c r="E101" s="33"/>
      <c r="F101" s="33"/>
      <c r="G101" s="33"/>
      <c r="H101" s="38"/>
      <c r="I101" s="39"/>
      <c r="J101" s="40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>
      <c r="A102" s="49"/>
      <c r="B102" s="32">
        <v>20.0</v>
      </c>
      <c r="C102" s="32">
        <f t="shared" si="3"/>
        <v>0.27</v>
      </c>
      <c r="D102" s="33"/>
      <c r="E102" s="33"/>
      <c r="F102" s="33"/>
      <c r="G102" s="33"/>
      <c r="H102" s="38"/>
      <c r="I102" s="39"/>
      <c r="J102" s="40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>
      <c r="A103" s="49"/>
      <c r="B103" s="32">
        <v>20.0</v>
      </c>
      <c r="C103" s="32">
        <f t="shared" si="3"/>
        <v>0.27</v>
      </c>
      <c r="D103" s="33"/>
      <c r="E103" s="33"/>
      <c r="F103" s="33"/>
      <c r="G103" s="33"/>
      <c r="H103" s="38"/>
      <c r="I103" s="39"/>
      <c r="J103" s="40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>
      <c r="A104" s="49"/>
      <c r="B104" s="32">
        <v>20.0</v>
      </c>
      <c r="C104" s="32">
        <f t="shared" si="3"/>
        <v>0.27</v>
      </c>
      <c r="D104" s="33"/>
      <c r="E104" s="33"/>
      <c r="F104" s="33"/>
      <c r="G104" s="33"/>
      <c r="H104" s="38"/>
      <c r="I104" s="39"/>
      <c r="J104" s="40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>
      <c r="A105" s="49"/>
      <c r="B105" s="32">
        <v>20.0</v>
      </c>
      <c r="C105" s="32">
        <f t="shared" si="3"/>
        <v>0.27</v>
      </c>
      <c r="D105" s="33"/>
      <c r="E105" s="33"/>
      <c r="F105" s="33"/>
      <c r="G105" s="33"/>
      <c r="H105" s="38"/>
      <c r="I105" s="39"/>
      <c r="J105" s="40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</sheetData>
  <mergeCells count="6">
    <mergeCell ref="B2:G2"/>
    <mergeCell ref="B23:G23"/>
    <mergeCell ref="B24:G24"/>
    <mergeCell ref="B27:H27"/>
    <mergeCell ref="B54:J54"/>
    <mergeCell ref="B81:I8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63"/>
  </cols>
  <sheetData>
    <row r="1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49"/>
      <c r="B2" s="2" t="s">
        <v>48</v>
      </c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49"/>
      <c r="B3" s="65" t="s">
        <v>1</v>
      </c>
      <c r="C3" s="65" t="s">
        <v>2</v>
      </c>
      <c r="D3" s="65" t="s">
        <v>3</v>
      </c>
      <c r="E3" s="65" t="s">
        <v>4</v>
      </c>
      <c r="F3" s="65" t="s">
        <v>41</v>
      </c>
      <c r="G3" s="65" t="s">
        <v>6</v>
      </c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49"/>
      <c r="B4" s="66" t="s">
        <v>9</v>
      </c>
      <c r="C4" s="66" t="s">
        <v>10</v>
      </c>
      <c r="D4" s="66" t="s">
        <v>11</v>
      </c>
      <c r="E4" s="66" t="s">
        <v>11</v>
      </c>
      <c r="F4" s="66" t="s">
        <v>42</v>
      </c>
      <c r="G4" s="66" t="s">
        <v>12</v>
      </c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49"/>
      <c r="B5" s="6">
        <v>1.0</v>
      </c>
      <c r="C5" s="6">
        <v>1.0</v>
      </c>
      <c r="D5" s="7">
        <v>20.0</v>
      </c>
      <c r="E5" s="7">
        <v>0.346</v>
      </c>
      <c r="F5" s="7">
        <v>0.27</v>
      </c>
      <c r="G5" s="9">
        <v>0.98</v>
      </c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49"/>
      <c r="B6" s="6">
        <v>2.0</v>
      </c>
      <c r="C6" s="6">
        <v>2.0</v>
      </c>
      <c r="D6" s="7">
        <v>20.0</v>
      </c>
      <c r="E6" s="7">
        <v>0.668</v>
      </c>
      <c r="F6" s="7">
        <v>0.54</v>
      </c>
      <c r="G6" s="9">
        <v>0.97</v>
      </c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49"/>
      <c r="B7" s="12">
        <v>3.0</v>
      </c>
      <c r="C7" s="12">
        <v>3.0</v>
      </c>
      <c r="D7" s="13">
        <v>20.0</v>
      </c>
      <c r="E7" s="13">
        <v>0.946</v>
      </c>
      <c r="F7" s="13">
        <v>0.81</v>
      </c>
      <c r="G7" s="15">
        <v>0.95</v>
      </c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49"/>
      <c r="B8" s="6">
        <v>4.0</v>
      </c>
      <c r="C8" s="6">
        <v>4.0</v>
      </c>
      <c r="D8" s="7">
        <v>20.0</v>
      </c>
      <c r="E8" s="7">
        <v>1.176</v>
      </c>
      <c r="F8" s="7">
        <v>1.08</v>
      </c>
      <c r="G8" s="9">
        <v>0.94</v>
      </c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49"/>
      <c r="B9" s="6">
        <v>5.0</v>
      </c>
      <c r="C9" s="6">
        <v>5.0</v>
      </c>
      <c r="D9" s="7">
        <v>20.0</v>
      </c>
      <c r="E9" s="7">
        <v>2.265</v>
      </c>
      <c r="F9" s="7">
        <v>1.35</v>
      </c>
      <c r="G9" s="9">
        <v>0.89</v>
      </c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49"/>
      <c r="B10" s="6">
        <v>6.0</v>
      </c>
      <c r="C10" s="6">
        <v>6.0</v>
      </c>
      <c r="D10" s="7">
        <v>20.0</v>
      </c>
      <c r="E10" s="7">
        <v>3.638</v>
      </c>
      <c r="F10" s="7">
        <v>1.62</v>
      </c>
      <c r="G10" s="9">
        <v>0.82</v>
      </c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49"/>
      <c r="B11" s="6">
        <v>7.0</v>
      </c>
      <c r="C11" s="6">
        <v>7.0</v>
      </c>
      <c r="D11" s="7">
        <v>20.0</v>
      </c>
      <c r="E11" s="7">
        <v>5.493</v>
      </c>
      <c r="F11" s="7">
        <v>1.89</v>
      </c>
      <c r="G11" s="9">
        <v>0.73</v>
      </c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49"/>
      <c r="B12" s="6">
        <v>8.0</v>
      </c>
      <c r="C12" s="6">
        <v>8.0</v>
      </c>
      <c r="D12" s="7">
        <v>20.0</v>
      </c>
      <c r="E12" s="7">
        <v>5.568</v>
      </c>
      <c r="F12" s="7">
        <v>2.16</v>
      </c>
      <c r="G12" s="9">
        <v>0.72</v>
      </c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49"/>
      <c r="B13" s="6">
        <v>9.0</v>
      </c>
      <c r="C13" s="6">
        <v>9.0</v>
      </c>
      <c r="D13" s="7">
        <v>20.0</v>
      </c>
      <c r="E13" s="7">
        <v>8.24</v>
      </c>
      <c r="F13" s="7">
        <v>2.43</v>
      </c>
      <c r="G13" s="9">
        <v>0.59</v>
      </c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49"/>
      <c r="B14" s="6">
        <v>10.0</v>
      </c>
      <c r="C14" s="6">
        <v>10.0</v>
      </c>
      <c r="D14" s="7">
        <v>20.0</v>
      </c>
      <c r="E14" s="7">
        <v>11.728</v>
      </c>
      <c r="F14" s="7">
        <v>2.7</v>
      </c>
      <c r="G14" s="9">
        <v>0.41</v>
      </c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49"/>
      <c r="B15" s="6">
        <v>11.0</v>
      </c>
      <c r="C15" s="6">
        <v>11.0</v>
      </c>
      <c r="D15" s="7">
        <v>20.0</v>
      </c>
      <c r="E15" s="7">
        <v>14.752</v>
      </c>
      <c r="F15" s="7">
        <v>2.97</v>
      </c>
      <c r="G15" s="9">
        <v>0.26</v>
      </c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49"/>
      <c r="B16" s="6">
        <v>12.0</v>
      </c>
      <c r="C16" s="6">
        <v>12.0</v>
      </c>
      <c r="D16" s="7">
        <v>20.0</v>
      </c>
      <c r="E16" s="7">
        <v>18.216</v>
      </c>
      <c r="F16" s="7">
        <v>3.24</v>
      </c>
      <c r="G16" s="9">
        <v>0.09</v>
      </c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49"/>
      <c r="B17" s="6">
        <v>13.0</v>
      </c>
      <c r="C17" s="6">
        <v>13.0</v>
      </c>
      <c r="D17" s="7">
        <v>20.0</v>
      </c>
      <c r="E17" s="7">
        <v>18.957</v>
      </c>
      <c r="F17" s="7">
        <v>3.51</v>
      </c>
      <c r="G17" s="9">
        <v>0.05</v>
      </c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9"/>
      <c r="B18" s="18">
        <v>14.0</v>
      </c>
      <c r="C18" s="18">
        <v>14.0</v>
      </c>
      <c r="D18" s="19">
        <v>20.0</v>
      </c>
      <c r="E18" s="19">
        <v>19.175</v>
      </c>
      <c r="F18" s="19">
        <v>3.78</v>
      </c>
      <c r="G18" s="21">
        <v>0.04</v>
      </c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49"/>
      <c r="B19" s="24" t="s">
        <v>13</v>
      </c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49"/>
      <c r="B20" s="25" t="s">
        <v>14</v>
      </c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49"/>
      <c r="B23" s="26" t="s">
        <v>43</v>
      </c>
      <c r="I23" s="1"/>
      <c r="J23" s="1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49"/>
      <c r="B24" s="65" t="s">
        <v>16</v>
      </c>
      <c r="C24" s="67" t="s">
        <v>17</v>
      </c>
      <c r="D24" s="68" t="s">
        <v>18</v>
      </c>
      <c r="E24" s="68" t="s">
        <v>19</v>
      </c>
      <c r="F24" s="68" t="s">
        <v>44</v>
      </c>
      <c r="G24" s="68" t="s">
        <v>45</v>
      </c>
      <c r="H24" s="68" t="s">
        <v>24</v>
      </c>
      <c r="I24" s="1"/>
      <c r="J24" s="1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49"/>
      <c r="B25" s="69" t="s">
        <v>25</v>
      </c>
      <c r="C25" s="70" t="s">
        <v>26</v>
      </c>
      <c r="D25" s="70" t="s">
        <v>11</v>
      </c>
      <c r="E25" s="71"/>
      <c r="F25" s="70" t="s">
        <v>39</v>
      </c>
      <c r="G25" s="70" t="s">
        <v>46</v>
      </c>
      <c r="H25" s="71"/>
      <c r="I25" s="1"/>
      <c r="J25" s="1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49"/>
      <c r="B26" s="32">
        <v>20.0</v>
      </c>
      <c r="C26" s="32">
        <f t="shared" ref="C26:C47" si="1">4.5*0.06</f>
        <v>0.27</v>
      </c>
      <c r="D26" s="33"/>
      <c r="E26" s="33"/>
      <c r="F26" s="33"/>
      <c r="G26" s="33"/>
      <c r="H26" s="33"/>
      <c r="I26" s="1"/>
      <c r="J26" s="1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49"/>
      <c r="B27" s="32">
        <v>20.0</v>
      </c>
      <c r="C27" s="32">
        <f t="shared" si="1"/>
        <v>0.27</v>
      </c>
      <c r="D27" s="33"/>
      <c r="E27" s="33"/>
      <c r="F27" s="33"/>
      <c r="G27" s="33"/>
      <c r="H27" s="33"/>
      <c r="I27" s="1"/>
      <c r="J27" s="1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49"/>
      <c r="B28" s="32">
        <v>20.0</v>
      </c>
      <c r="C28" s="32">
        <f t="shared" si="1"/>
        <v>0.27</v>
      </c>
      <c r="D28" s="33"/>
      <c r="E28" s="33"/>
      <c r="F28" s="33"/>
      <c r="G28" s="33"/>
      <c r="H28" s="33"/>
      <c r="I28" s="1"/>
      <c r="J28" s="1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49"/>
      <c r="B29" s="32">
        <v>20.0</v>
      </c>
      <c r="C29" s="32">
        <f t="shared" si="1"/>
        <v>0.27</v>
      </c>
      <c r="D29" s="33"/>
      <c r="E29" s="33"/>
      <c r="F29" s="33"/>
      <c r="G29" s="33"/>
      <c r="H29" s="33"/>
      <c r="I29" s="1"/>
      <c r="J29" s="1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49"/>
      <c r="B30" s="32">
        <v>20.0</v>
      </c>
      <c r="C30" s="32">
        <f t="shared" si="1"/>
        <v>0.27</v>
      </c>
      <c r="D30" s="33"/>
      <c r="E30" s="33"/>
      <c r="F30" s="33"/>
      <c r="G30" s="33"/>
      <c r="H30" s="33"/>
      <c r="I30" s="1"/>
      <c r="J30" s="1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49"/>
      <c r="B31" s="32">
        <v>20.0</v>
      </c>
      <c r="C31" s="32">
        <f t="shared" si="1"/>
        <v>0.27</v>
      </c>
      <c r="D31" s="33"/>
      <c r="E31" s="33"/>
      <c r="F31" s="33"/>
      <c r="G31" s="33"/>
      <c r="H31" s="33"/>
      <c r="I31" s="1"/>
      <c r="J31" s="1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>
      <c r="A32" s="49"/>
      <c r="B32" s="32">
        <v>20.0</v>
      </c>
      <c r="C32" s="32">
        <f t="shared" si="1"/>
        <v>0.27</v>
      </c>
      <c r="D32" s="33"/>
      <c r="E32" s="33"/>
      <c r="F32" s="33"/>
      <c r="G32" s="33"/>
      <c r="H32" s="33"/>
      <c r="I32" s="1"/>
      <c r="J32" s="1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>
      <c r="A33" s="49"/>
      <c r="B33" s="32">
        <v>20.0</v>
      </c>
      <c r="C33" s="32">
        <f t="shared" si="1"/>
        <v>0.27</v>
      </c>
      <c r="D33" s="33"/>
      <c r="E33" s="33"/>
      <c r="F33" s="33"/>
      <c r="G33" s="33"/>
      <c r="H33" s="33"/>
      <c r="I33" s="1"/>
      <c r="J33" s="1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49"/>
      <c r="B34" s="32">
        <v>20.0</v>
      </c>
      <c r="C34" s="32">
        <f t="shared" si="1"/>
        <v>0.27</v>
      </c>
      <c r="D34" s="33"/>
      <c r="E34" s="33"/>
      <c r="F34" s="33"/>
      <c r="G34" s="33"/>
      <c r="H34" s="33"/>
      <c r="I34" s="1"/>
      <c r="J34" s="1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49"/>
      <c r="B35" s="32">
        <v>20.0</v>
      </c>
      <c r="C35" s="32">
        <f t="shared" si="1"/>
        <v>0.27</v>
      </c>
      <c r="D35" s="33"/>
      <c r="E35" s="33"/>
      <c r="F35" s="33"/>
      <c r="G35" s="33"/>
      <c r="H35" s="33"/>
      <c r="I35" s="1"/>
      <c r="J35" s="1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49"/>
      <c r="B36" s="32">
        <v>20.0</v>
      </c>
      <c r="C36" s="32">
        <f t="shared" si="1"/>
        <v>0.27</v>
      </c>
      <c r="D36" s="33"/>
      <c r="E36" s="33"/>
      <c r="F36" s="33"/>
      <c r="G36" s="33"/>
      <c r="H36" s="33"/>
      <c r="I36" s="1"/>
      <c r="J36" s="1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49"/>
      <c r="B37" s="32">
        <v>20.0</v>
      </c>
      <c r="C37" s="32">
        <f t="shared" si="1"/>
        <v>0.27</v>
      </c>
      <c r="D37" s="33"/>
      <c r="E37" s="33"/>
      <c r="F37" s="33"/>
      <c r="G37" s="33"/>
      <c r="H37" s="33"/>
      <c r="I37" s="1"/>
      <c r="J37" s="1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49"/>
      <c r="B38" s="32">
        <v>20.0</v>
      </c>
      <c r="C38" s="32">
        <f t="shared" si="1"/>
        <v>0.27</v>
      </c>
      <c r="D38" s="33"/>
      <c r="E38" s="33"/>
      <c r="F38" s="33"/>
      <c r="G38" s="33"/>
      <c r="H38" s="33"/>
      <c r="I38" s="1"/>
      <c r="J38" s="1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49"/>
      <c r="B39" s="32">
        <v>20.0</v>
      </c>
      <c r="C39" s="32">
        <f t="shared" si="1"/>
        <v>0.27</v>
      </c>
      <c r="D39" s="33"/>
      <c r="E39" s="33"/>
      <c r="F39" s="33"/>
      <c r="G39" s="33"/>
      <c r="H39" s="33"/>
      <c r="I39" s="1"/>
      <c r="J39" s="1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>
      <c r="A40" s="49"/>
      <c r="B40" s="32">
        <v>20.0</v>
      </c>
      <c r="C40" s="32">
        <f t="shared" si="1"/>
        <v>0.27</v>
      </c>
      <c r="D40" s="33"/>
      <c r="E40" s="33"/>
      <c r="F40" s="33"/>
      <c r="G40" s="33"/>
      <c r="H40" s="33"/>
      <c r="I40" s="1"/>
      <c r="J40" s="1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>
      <c r="A41" s="49"/>
      <c r="B41" s="32">
        <v>20.0</v>
      </c>
      <c r="C41" s="32">
        <f t="shared" si="1"/>
        <v>0.27</v>
      </c>
      <c r="D41" s="33"/>
      <c r="E41" s="33"/>
      <c r="F41" s="33"/>
      <c r="G41" s="33"/>
      <c r="H41" s="33"/>
      <c r="I41" s="1"/>
      <c r="J41" s="1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>
      <c r="A42" s="49"/>
      <c r="B42" s="32">
        <v>20.0</v>
      </c>
      <c r="C42" s="32">
        <f t="shared" si="1"/>
        <v>0.27</v>
      </c>
      <c r="D42" s="33"/>
      <c r="E42" s="33"/>
      <c r="F42" s="33"/>
      <c r="G42" s="33"/>
      <c r="H42" s="33"/>
      <c r="I42" s="1"/>
      <c r="J42" s="1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>
      <c r="A43" s="49"/>
      <c r="B43" s="32">
        <v>20.0</v>
      </c>
      <c r="C43" s="32">
        <f t="shared" si="1"/>
        <v>0.27</v>
      </c>
      <c r="D43" s="33"/>
      <c r="E43" s="33"/>
      <c r="F43" s="33"/>
      <c r="G43" s="33"/>
      <c r="H43" s="33"/>
      <c r="I43" s="1"/>
      <c r="J43" s="1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>
      <c r="A44" s="49"/>
      <c r="B44" s="32">
        <v>20.0</v>
      </c>
      <c r="C44" s="32">
        <f t="shared" si="1"/>
        <v>0.27</v>
      </c>
      <c r="D44" s="33"/>
      <c r="E44" s="33"/>
      <c r="F44" s="33"/>
      <c r="G44" s="33"/>
      <c r="H44" s="33"/>
      <c r="I44" s="1"/>
      <c r="J44" s="1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49"/>
      <c r="B45" s="32">
        <v>20.0</v>
      </c>
      <c r="C45" s="32">
        <f t="shared" si="1"/>
        <v>0.27</v>
      </c>
      <c r="D45" s="33"/>
      <c r="E45" s="33"/>
      <c r="F45" s="33"/>
      <c r="G45" s="33"/>
      <c r="H45" s="33"/>
      <c r="I45" s="1"/>
      <c r="J45" s="1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49"/>
      <c r="B46" s="32">
        <v>20.0</v>
      </c>
      <c r="C46" s="32">
        <f t="shared" si="1"/>
        <v>0.27</v>
      </c>
      <c r="D46" s="33"/>
      <c r="E46" s="33"/>
      <c r="F46" s="33"/>
      <c r="G46" s="33"/>
      <c r="H46" s="33"/>
      <c r="I46" s="1"/>
      <c r="J46" s="1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49"/>
      <c r="B47" s="32">
        <v>20.0</v>
      </c>
      <c r="C47" s="32">
        <f t="shared" si="1"/>
        <v>0.27</v>
      </c>
      <c r="D47" s="33"/>
      <c r="E47" s="33"/>
      <c r="F47" s="33"/>
      <c r="G47" s="33"/>
      <c r="H47" s="33"/>
      <c r="I47" s="1"/>
      <c r="J47" s="1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>
      <c r="A48" s="49"/>
      <c r="B48" s="1"/>
      <c r="C48" s="1"/>
      <c r="D48" s="1"/>
      <c r="E48" s="1"/>
      <c r="F48" s="1"/>
      <c r="G48" s="1"/>
      <c r="H48" s="1"/>
      <c r="I48" s="1"/>
      <c r="J48" s="1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49"/>
      <c r="B49" s="1"/>
      <c r="C49" s="1"/>
      <c r="D49" s="1"/>
      <c r="E49" s="1"/>
      <c r="F49" s="1"/>
      <c r="G49" s="1"/>
      <c r="H49" s="1"/>
      <c r="I49" s="1"/>
      <c r="J49" s="1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49"/>
      <c r="B50" s="26" t="s">
        <v>15</v>
      </c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49"/>
      <c r="B51" s="72" t="s">
        <v>16</v>
      </c>
      <c r="C51" s="68" t="s">
        <v>17</v>
      </c>
      <c r="D51" s="68" t="s">
        <v>18</v>
      </c>
      <c r="E51" s="68" t="s">
        <v>19</v>
      </c>
      <c r="F51" s="68" t="s">
        <v>20</v>
      </c>
      <c r="G51" s="68" t="s">
        <v>21</v>
      </c>
      <c r="H51" s="68" t="s">
        <v>22</v>
      </c>
      <c r="I51" s="73" t="s">
        <v>23</v>
      </c>
      <c r="J51" s="65" t="s">
        <v>24</v>
      </c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49"/>
      <c r="B52" s="70" t="s">
        <v>25</v>
      </c>
      <c r="C52" s="70" t="s">
        <v>26</v>
      </c>
      <c r="D52" s="70" t="s">
        <v>11</v>
      </c>
      <c r="E52" s="71"/>
      <c r="F52" s="71"/>
      <c r="G52" s="70" t="s">
        <v>27</v>
      </c>
      <c r="H52" s="70" t="s">
        <v>10</v>
      </c>
      <c r="I52" s="74" t="s">
        <v>10</v>
      </c>
      <c r="J52" s="75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>
      <c r="A53" s="49"/>
      <c r="B53" s="32">
        <v>20.0</v>
      </c>
      <c r="C53" s="32">
        <f t="shared" ref="C53:C74" si="2">4.5*0.06</f>
        <v>0.27</v>
      </c>
      <c r="D53" s="33"/>
      <c r="E53" s="33"/>
      <c r="F53" s="33"/>
      <c r="G53" s="33"/>
      <c r="H53" s="33"/>
      <c r="I53" s="38"/>
      <c r="J53" s="3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>
      <c r="A54" s="49"/>
      <c r="B54" s="32">
        <v>20.0</v>
      </c>
      <c r="C54" s="32">
        <f t="shared" si="2"/>
        <v>0.27</v>
      </c>
      <c r="D54" s="33"/>
      <c r="E54" s="33"/>
      <c r="F54" s="33"/>
      <c r="G54" s="33"/>
      <c r="H54" s="33"/>
      <c r="I54" s="38"/>
      <c r="J54" s="3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>
      <c r="A55" s="49"/>
      <c r="B55" s="32">
        <v>20.0</v>
      </c>
      <c r="C55" s="32">
        <f t="shared" si="2"/>
        <v>0.27</v>
      </c>
      <c r="D55" s="33"/>
      <c r="E55" s="33"/>
      <c r="F55" s="33"/>
      <c r="G55" s="33"/>
      <c r="H55" s="33"/>
      <c r="I55" s="38"/>
      <c r="J55" s="3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>
      <c r="A56" s="49"/>
      <c r="B56" s="32">
        <v>20.0</v>
      </c>
      <c r="C56" s="32">
        <f t="shared" si="2"/>
        <v>0.27</v>
      </c>
      <c r="D56" s="33"/>
      <c r="E56" s="33"/>
      <c r="F56" s="33"/>
      <c r="G56" s="33"/>
      <c r="H56" s="33"/>
      <c r="I56" s="38"/>
      <c r="J56" s="3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>
      <c r="A57" s="49"/>
      <c r="B57" s="32">
        <v>20.0</v>
      </c>
      <c r="C57" s="32">
        <f t="shared" si="2"/>
        <v>0.27</v>
      </c>
      <c r="D57" s="33"/>
      <c r="E57" s="33"/>
      <c r="F57" s="33"/>
      <c r="G57" s="33"/>
      <c r="H57" s="33"/>
      <c r="I57" s="38"/>
      <c r="J57" s="3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>
      <c r="A58" s="49"/>
      <c r="B58" s="32">
        <v>20.0</v>
      </c>
      <c r="C58" s="32">
        <f t="shared" si="2"/>
        <v>0.27</v>
      </c>
      <c r="D58" s="33"/>
      <c r="E58" s="33"/>
      <c r="F58" s="33"/>
      <c r="G58" s="33"/>
      <c r="H58" s="33"/>
      <c r="I58" s="38"/>
      <c r="J58" s="3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>
      <c r="A59" s="49"/>
      <c r="B59" s="32">
        <v>20.0</v>
      </c>
      <c r="C59" s="32">
        <f t="shared" si="2"/>
        <v>0.27</v>
      </c>
      <c r="D59" s="33"/>
      <c r="E59" s="33"/>
      <c r="F59" s="33"/>
      <c r="G59" s="33"/>
      <c r="H59" s="33"/>
      <c r="I59" s="38"/>
      <c r="J59" s="3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49"/>
      <c r="B60" s="32">
        <v>20.0</v>
      </c>
      <c r="C60" s="32">
        <f t="shared" si="2"/>
        <v>0.27</v>
      </c>
      <c r="D60" s="33"/>
      <c r="E60" s="33"/>
      <c r="F60" s="33"/>
      <c r="G60" s="33"/>
      <c r="H60" s="33"/>
      <c r="I60" s="38"/>
      <c r="J60" s="3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49"/>
      <c r="B61" s="32">
        <v>20.0</v>
      </c>
      <c r="C61" s="32">
        <f t="shared" si="2"/>
        <v>0.27</v>
      </c>
      <c r="D61" s="33"/>
      <c r="E61" s="33"/>
      <c r="F61" s="33"/>
      <c r="G61" s="33"/>
      <c r="H61" s="33"/>
      <c r="I61" s="38"/>
      <c r="J61" s="3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49"/>
      <c r="B62" s="32">
        <v>20.0</v>
      </c>
      <c r="C62" s="32">
        <f t="shared" si="2"/>
        <v>0.27</v>
      </c>
      <c r="D62" s="33"/>
      <c r="E62" s="33"/>
      <c r="F62" s="33"/>
      <c r="G62" s="33"/>
      <c r="H62" s="33"/>
      <c r="I62" s="38"/>
      <c r="J62" s="3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>
      <c r="A63" s="49"/>
      <c r="B63" s="32">
        <v>20.0</v>
      </c>
      <c r="C63" s="32">
        <f t="shared" si="2"/>
        <v>0.27</v>
      </c>
      <c r="D63" s="33"/>
      <c r="E63" s="33"/>
      <c r="F63" s="33"/>
      <c r="G63" s="33"/>
      <c r="H63" s="33"/>
      <c r="I63" s="38"/>
      <c r="J63" s="3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>
      <c r="A64" s="49"/>
      <c r="B64" s="32">
        <v>20.0</v>
      </c>
      <c r="C64" s="32">
        <f t="shared" si="2"/>
        <v>0.27</v>
      </c>
      <c r="D64" s="33"/>
      <c r="E64" s="33"/>
      <c r="F64" s="33"/>
      <c r="G64" s="33"/>
      <c r="H64" s="33"/>
      <c r="I64" s="38"/>
      <c r="J64" s="3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>
      <c r="A65" s="49"/>
      <c r="B65" s="32">
        <v>20.0</v>
      </c>
      <c r="C65" s="32">
        <f t="shared" si="2"/>
        <v>0.27</v>
      </c>
      <c r="D65" s="33"/>
      <c r="E65" s="33"/>
      <c r="F65" s="33"/>
      <c r="G65" s="33"/>
      <c r="H65" s="33"/>
      <c r="I65" s="38"/>
      <c r="J65" s="3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49"/>
      <c r="B66" s="32">
        <v>20.0</v>
      </c>
      <c r="C66" s="32">
        <f t="shared" si="2"/>
        <v>0.27</v>
      </c>
      <c r="D66" s="33"/>
      <c r="E66" s="33"/>
      <c r="F66" s="33"/>
      <c r="G66" s="33"/>
      <c r="H66" s="33"/>
      <c r="I66" s="38"/>
      <c r="J66" s="3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>
      <c r="A67" s="49"/>
      <c r="B67" s="32">
        <v>20.0</v>
      </c>
      <c r="C67" s="32">
        <f t="shared" si="2"/>
        <v>0.27</v>
      </c>
      <c r="D67" s="33"/>
      <c r="E67" s="33"/>
      <c r="F67" s="33"/>
      <c r="G67" s="33"/>
      <c r="H67" s="33"/>
      <c r="I67" s="38"/>
      <c r="J67" s="3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49"/>
      <c r="B68" s="32">
        <v>20.0</v>
      </c>
      <c r="C68" s="32">
        <f t="shared" si="2"/>
        <v>0.27</v>
      </c>
      <c r="D68" s="33"/>
      <c r="E68" s="33"/>
      <c r="F68" s="33"/>
      <c r="G68" s="33"/>
      <c r="H68" s="33"/>
      <c r="I68" s="38"/>
      <c r="J68" s="3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49"/>
      <c r="B69" s="32">
        <v>20.0</v>
      </c>
      <c r="C69" s="32">
        <f t="shared" si="2"/>
        <v>0.27</v>
      </c>
      <c r="D69" s="33"/>
      <c r="E69" s="33"/>
      <c r="F69" s="33"/>
      <c r="G69" s="33"/>
      <c r="H69" s="33"/>
      <c r="I69" s="38"/>
      <c r="J69" s="3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49"/>
      <c r="B70" s="32">
        <v>20.0</v>
      </c>
      <c r="C70" s="32">
        <f t="shared" si="2"/>
        <v>0.27</v>
      </c>
      <c r="D70" s="33"/>
      <c r="E70" s="33"/>
      <c r="F70" s="33"/>
      <c r="G70" s="33"/>
      <c r="H70" s="33"/>
      <c r="I70" s="38"/>
      <c r="J70" s="3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49"/>
      <c r="B71" s="32">
        <v>20.0</v>
      </c>
      <c r="C71" s="32">
        <f t="shared" si="2"/>
        <v>0.27</v>
      </c>
      <c r="D71" s="33"/>
      <c r="E71" s="33"/>
      <c r="F71" s="33"/>
      <c r="G71" s="33"/>
      <c r="H71" s="33"/>
      <c r="I71" s="38"/>
      <c r="J71" s="3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49"/>
      <c r="B72" s="32">
        <v>20.0</v>
      </c>
      <c r="C72" s="32">
        <f t="shared" si="2"/>
        <v>0.27</v>
      </c>
      <c r="D72" s="33"/>
      <c r="E72" s="33"/>
      <c r="F72" s="33"/>
      <c r="G72" s="33"/>
      <c r="H72" s="33"/>
      <c r="I72" s="38"/>
      <c r="J72" s="3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49"/>
      <c r="B73" s="32">
        <v>20.0</v>
      </c>
      <c r="C73" s="32">
        <f t="shared" si="2"/>
        <v>0.27</v>
      </c>
      <c r="D73" s="33"/>
      <c r="E73" s="33"/>
      <c r="F73" s="33"/>
      <c r="G73" s="33"/>
      <c r="H73" s="33"/>
      <c r="I73" s="38"/>
      <c r="J73" s="3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49"/>
      <c r="B74" s="32">
        <v>20.0</v>
      </c>
      <c r="C74" s="32">
        <f t="shared" si="2"/>
        <v>0.27</v>
      </c>
      <c r="D74" s="33"/>
      <c r="E74" s="33"/>
      <c r="F74" s="33"/>
      <c r="G74" s="33"/>
      <c r="H74" s="33"/>
      <c r="I74" s="38"/>
      <c r="J74" s="3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49"/>
      <c r="B75" s="1"/>
      <c r="C75" s="1"/>
      <c r="D75" s="1"/>
      <c r="E75" s="1"/>
      <c r="F75" s="1"/>
      <c r="G75" s="1"/>
      <c r="H75" s="1"/>
      <c r="I75" s="1"/>
      <c r="J75" s="1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49"/>
      <c r="B76" s="1"/>
      <c r="C76" s="1"/>
      <c r="D76" s="1"/>
      <c r="E76" s="1"/>
      <c r="F76" s="1"/>
      <c r="G76" s="1"/>
      <c r="H76" s="1"/>
      <c r="I76" s="1"/>
      <c r="J76" s="1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49"/>
      <c r="B77" s="2" t="s">
        <v>28</v>
      </c>
      <c r="J77" s="40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49"/>
      <c r="B78" s="72" t="s">
        <v>16</v>
      </c>
      <c r="C78" s="68" t="s">
        <v>17</v>
      </c>
      <c r="D78" s="68" t="s">
        <v>18</v>
      </c>
      <c r="E78" s="68" t="s">
        <v>19</v>
      </c>
      <c r="F78" s="68" t="s">
        <v>20</v>
      </c>
      <c r="G78" s="72" t="s">
        <v>47</v>
      </c>
      <c r="H78" s="76" t="s">
        <v>1</v>
      </c>
      <c r="I78" s="65" t="s">
        <v>24</v>
      </c>
      <c r="J78" s="26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>
      <c r="A79" s="49"/>
      <c r="B79" s="70" t="s">
        <v>25</v>
      </c>
      <c r="C79" s="70" t="s">
        <v>26</v>
      </c>
      <c r="D79" s="70" t="s">
        <v>11</v>
      </c>
      <c r="E79" s="71"/>
      <c r="F79" s="71"/>
      <c r="G79" s="77" t="s">
        <v>39</v>
      </c>
      <c r="H79" s="78" t="s">
        <v>38</v>
      </c>
      <c r="I79" s="79"/>
      <c r="J79" s="40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>
      <c r="A80" s="49"/>
      <c r="B80" s="32">
        <v>20.0</v>
      </c>
      <c r="C80" s="32">
        <f t="shared" ref="C80:C101" si="3">4.5*0.06</f>
        <v>0.27</v>
      </c>
      <c r="D80" s="33"/>
      <c r="E80" s="33"/>
      <c r="F80" s="33"/>
      <c r="G80" s="33"/>
      <c r="H80" s="38"/>
      <c r="I80" s="39"/>
      <c r="J80" s="40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>
      <c r="A81" s="49"/>
      <c r="B81" s="32">
        <v>20.0</v>
      </c>
      <c r="C81" s="32">
        <f t="shared" si="3"/>
        <v>0.27</v>
      </c>
      <c r="D81" s="33"/>
      <c r="E81" s="33"/>
      <c r="F81" s="33"/>
      <c r="G81" s="33"/>
      <c r="H81" s="38"/>
      <c r="I81" s="39"/>
      <c r="J81" s="40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>
      <c r="A82" s="49"/>
      <c r="B82" s="32">
        <v>20.0</v>
      </c>
      <c r="C82" s="32">
        <f t="shared" si="3"/>
        <v>0.27</v>
      </c>
      <c r="D82" s="33"/>
      <c r="E82" s="33"/>
      <c r="F82" s="33"/>
      <c r="G82" s="33"/>
      <c r="H82" s="38"/>
      <c r="I82" s="39"/>
      <c r="J82" s="40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>
      <c r="A83" s="49"/>
      <c r="B83" s="32">
        <v>20.0</v>
      </c>
      <c r="C83" s="32">
        <f t="shared" si="3"/>
        <v>0.27</v>
      </c>
      <c r="D83" s="33"/>
      <c r="E83" s="33"/>
      <c r="F83" s="33"/>
      <c r="G83" s="33"/>
      <c r="H83" s="38"/>
      <c r="I83" s="39"/>
      <c r="J83" s="40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>
      <c r="A84" s="49"/>
      <c r="B84" s="32">
        <v>20.0</v>
      </c>
      <c r="C84" s="32">
        <f t="shared" si="3"/>
        <v>0.27</v>
      </c>
      <c r="D84" s="33"/>
      <c r="E84" s="33"/>
      <c r="F84" s="33"/>
      <c r="G84" s="33"/>
      <c r="H84" s="38"/>
      <c r="I84" s="39"/>
      <c r="J84" s="40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>
      <c r="A85" s="49"/>
      <c r="B85" s="32">
        <v>20.0</v>
      </c>
      <c r="C85" s="32">
        <f t="shared" si="3"/>
        <v>0.27</v>
      </c>
      <c r="D85" s="33"/>
      <c r="E85" s="33"/>
      <c r="F85" s="33"/>
      <c r="G85" s="33"/>
      <c r="H85" s="38"/>
      <c r="I85" s="39"/>
      <c r="J85" s="40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>
      <c r="A86" s="49"/>
      <c r="B86" s="32">
        <v>20.0</v>
      </c>
      <c r="C86" s="32">
        <f t="shared" si="3"/>
        <v>0.27</v>
      </c>
      <c r="D86" s="33"/>
      <c r="E86" s="33"/>
      <c r="F86" s="33"/>
      <c r="G86" s="33"/>
      <c r="H86" s="38"/>
      <c r="I86" s="39"/>
      <c r="J86" s="40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>
      <c r="A87" s="49"/>
      <c r="B87" s="32">
        <v>20.0</v>
      </c>
      <c r="C87" s="32">
        <f t="shared" si="3"/>
        <v>0.27</v>
      </c>
      <c r="D87" s="33"/>
      <c r="E87" s="33"/>
      <c r="F87" s="33"/>
      <c r="G87" s="33"/>
      <c r="H87" s="38"/>
      <c r="I87" s="39"/>
      <c r="J87" s="40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>
      <c r="A88" s="49"/>
      <c r="B88" s="32">
        <v>20.0</v>
      </c>
      <c r="C88" s="32">
        <f t="shared" si="3"/>
        <v>0.27</v>
      </c>
      <c r="D88" s="33"/>
      <c r="E88" s="33"/>
      <c r="F88" s="33"/>
      <c r="G88" s="33"/>
      <c r="H88" s="38"/>
      <c r="I88" s="39"/>
      <c r="J88" s="40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>
      <c r="A89" s="49"/>
      <c r="B89" s="32">
        <v>20.0</v>
      </c>
      <c r="C89" s="32">
        <f t="shared" si="3"/>
        <v>0.27</v>
      </c>
      <c r="D89" s="33"/>
      <c r="E89" s="33"/>
      <c r="F89" s="33"/>
      <c r="G89" s="33"/>
      <c r="H89" s="38"/>
      <c r="I89" s="39"/>
      <c r="J89" s="40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49"/>
      <c r="B90" s="32">
        <v>20.0</v>
      </c>
      <c r="C90" s="32">
        <f t="shared" si="3"/>
        <v>0.27</v>
      </c>
      <c r="D90" s="33"/>
      <c r="E90" s="33"/>
      <c r="F90" s="33"/>
      <c r="G90" s="33"/>
      <c r="H90" s="38"/>
      <c r="I90" s="39"/>
      <c r="J90" s="40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>
      <c r="A91" s="49"/>
      <c r="B91" s="32">
        <v>20.0</v>
      </c>
      <c r="C91" s="32">
        <f t="shared" si="3"/>
        <v>0.27</v>
      </c>
      <c r="D91" s="33"/>
      <c r="E91" s="33"/>
      <c r="F91" s="33"/>
      <c r="G91" s="33"/>
      <c r="H91" s="38"/>
      <c r="I91" s="39"/>
      <c r="J91" s="40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>
      <c r="A92" s="49"/>
      <c r="B92" s="32">
        <v>20.0</v>
      </c>
      <c r="C92" s="32">
        <f t="shared" si="3"/>
        <v>0.27</v>
      </c>
      <c r="D92" s="33"/>
      <c r="E92" s="33"/>
      <c r="F92" s="33"/>
      <c r="G92" s="33"/>
      <c r="H92" s="38"/>
      <c r="I92" s="39"/>
      <c r="J92" s="40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49"/>
      <c r="B93" s="32">
        <v>20.0</v>
      </c>
      <c r="C93" s="32">
        <f t="shared" si="3"/>
        <v>0.27</v>
      </c>
      <c r="D93" s="33"/>
      <c r="E93" s="33"/>
      <c r="F93" s="33"/>
      <c r="G93" s="33"/>
      <c r="H93" s="38"/>
      <c r="I93" s="39"/>
      <c r="J93" s="40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>
      <c r="A94" s="49"/>
      <c r="B94" s="32">
        <v>20.0</v>
      </c>
      <c r="C94" s="32">
        <f t="shared" si="3"/>
        <v>0.27</v>
      </c>
      <c r="D94" s="33"/>
      <c r="E94" s="33"/>
      <c r="F94" s="33"/>
      <c r="G94" s="33"/>
      <c r="H94" s="38"/>
      <c r="I94" s="39"/>
      <c r="J94" s="40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>
      <c r="A95" s="49"/>
      <c r="B95" s="32">
        <v>20.0</v>
      </c>
      <c r="C95" s="32">
        <f t="shared" si="3"/>
        <v>0.27</v>
      </c>
      <c r="D95" s="33"/>
      <c r="E95" s="33"/>
      <c r="F95" s="33"/>
      <c r="G95" s="33"/>
      <c r="H95" s="38"/>
      <c r="I95" s="39"/>
      <c r="J95" s="40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49"/>
      <c r="B96" s="32">
        <v>20.0</v>
      </c>
      <c r="C96" s="32">
        <f t="shared" si="3"/>
        <v>0.27</v>
      </c>
      <c r="D96" s="33"/>
      <c r="E96" s="33"/>
      <c r="F96" s="33"/>
      <c r="G96" s="33"/>
      <c r="H96" s="38"/>
      <c r="I96" s="39"/>
      <c r="J96" s="40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>
      <c r="A97" s="49"/>
      <c r="B97" s="32">
        <v>20.0</v>
      </c>
      <c r="C97" s="32">
        <f t="shared" si="3"/>
        <v>0.27</v>
      </c>
      <c r="D97" s="33"/>
      <c r="E97" s="33"/>
      <c r="F97" s="33"/>
      <c r="G97" s="33"/>
      <c r="H97" s="38"/>
      <c r="I97" s="39"/>
      <c r="J97" s="40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>
      <c r="A98" s="49"/>
      <c r="B98" s="32">
        <v>20.0</v>
      </c>
      <c r="C98" s="32">
        <f t="shared" si="3"/>
        <v>0.27</v>
      </c>
      <c r="D98" s="33"/>
      <c r="E98" s="33"/>
      <c r="F98" s="33"/>
      <c r="G98" s="33"/>
      <c r="H98" s="38"/>
      <c r="I98" s="39"/>
      <c r="J98" s="40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>
      <c r="A99" s="49"/>
      <c r="B99" s="32">
        <v>20.0</v>
      </c>
      <c r="C99" s="32">
        <f t="shared" si="3"/>
        <v>0.27</v>
      </c>
      <c r="D99" s="33"/>
      <c r="E99" s="33"/>
      <c r="F99" s="33"/>
      <c r="G99" s="33"/>
      <c r="H99" s="38"/>
      <c r="I99" s="39"/>
      <c r="J99" s="40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>
      <c r="A100" s="49"/>
      <c r="B100" s="32">
        <v>20.0</v>
      </c>
      <c r="C100" s="32">
        <f t="shared" si="3"/>
        <v>0.27</v>
      </c>
      <c r="D100" s="33"/>
      <c r="E100" s="33"/>
      <c r="F100" s="33"/>
      <c r="G100" s="33"/>
      <c r="H100" s="38"/>
      <c r="I100" s="39"/>
      <c r="J100" s="40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>
      <c r="A101" s="49"/>
      <c r="B101" s="32">
        <v>20.0</v>
      </c>
      <c r="C101" s="32">
        <f t="shared" si="3"/>
        <v>0.27</v>
      </c>
      <c r="D101" s="33"/>
      <c r="E101" s="33"/>
      <c r="F101" s="33"/>
      <c r="G101" s="33"/>
      <c r="H101" s="38"/>
      <c r="I101" s="39"/>
      <c r="J101" s="40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</sheetData>
  <mergeCells count="6">
    <mergeCell ref="B2:G2"/>
    <mergeCell ref="B19:G19"/>
    <mergeCell ref="B20:G20"/>
    <mergeCell ref="B23:H23"/>
    <mergeCell ref="B50:J50"/>
    <mergeCell ref="B77:I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63"/>
    <col customWidth="1" min="6" max="6" width="14.0"/>
    <col customWidth="1" min="19" max="19" width="13.5"/>
  </cols>
  <sheetData>
    <row r="2">
      <c r="B2" s="2" t="s">
        <v>49</v>
      </c>
      <c r="J2" s="2"/>
      <c r="K2" s="2"/>
      <c r="L2" s="2"/>
      <c r="M2" s="2"/>
      <c r="N2" s="2"/>
      <c r="O2" s="2"/>
      <c r="P2" s="2" t="s">
        <v>50</v>
      </c>
      <c r="AD2" s="2" t="s">
        <v>51</v>
      </c>
    </row>
    <row r="3" ht="60.75" customHeight="1">
      <c r="B3" s="3" t="s">
        <v>1</v>
      </c>
      <c r="C3" s="3" t="s">
        <v>2</v>
      </c>
      <c r="D3" s="3" t="s">
        <v>3</v>
      </c>
      <c r="E3" s="3" t="s">
        <v>52</v>
      </c>
      <c r="F3" s="3" t="s">
        <v>5</v>
      </c>
      <c r="G3" s="3" t="s">
        <v>6</v>
      </c>
      <c r="H3" s="3" t="s">
        <v>7</v>
      </c>
      <c r="I3" s="3" t="s">
        <v>8</v>
      </c>
      <c r="J3" s="2"/>
      <c r="K3" s="2"/>
      <c r="L3" s="2"/>
      <c r="M3" s="2"/>
      <c r="N3" s="2"/>
      <c r="O3" s="2"/>
      <c r="P3" s="50" t="s">
        <v>1</v>
      </c>
      <c r="Q3" s="50" t="s">
        <v>2</v>
      </c>
      <c r="R3" s="50" t="s">
        <v>3</v>
      </c>
      <c r="S3" s="50" t="s">
        <v>52</v>
      </c>
      <c r="T3" s="50" t="s">
        <v>41</v>
      </c>
      <c r="U3" s="50" t="s">
        <v>6</v>
      </c>
      <c r="V3" s="50" t="s">
        <v>7</v>
      </c>
      <c r="W3" s="50" t="s">
        <v>8</v>
      </c>
      <c r="AD3" s="65" t="s">
        <v>1</v>
      </c>
      <c r="AE3" s="65" t="s">
        <v>2</v>
      </c>
      <c r="AF3" s="65" t="s">
        <v>3</v>
      </c>
      <c r="AG3" s="65" t="s">
        <v>4</v>
      </c>
      <c r="AH3" s="65" t="s">
        <v>41</v>
      </c>
      <c r="AI3" s="65" t="s">
        <v>6</v>
      </c>
      <c r="AJ3" s="65" t="s">
        <v>7</v>
      </c>
      <c r="AK3" s="65" t="s">
        <v>8</v>
      </c>
    </row>
    <row r="4" ht="19.5" customHeight="1">
      <c r="B4" s="4" t="s">
        <v>9</v>
      </c>
      <c r="C4" s="4" t="s">
        <v>10</v>
      </c>
      <c r="D4" s="4" t="s">
        <v>11</v>
      </c>
      <c r="E4" s="4" t="s">
        <v>11</v>
      </c>
      <c r="F4" s="4"/>
      <c r="G4" s="4" t="s">
        <v>12</v>
      </c>
      <c r="H4" s="4"/>
      <c r="I4" s="4"/>
      <c r="J4" s="5"/>
      <c r="K4" s="5"/>
      <c r="L4" s="1"/>
      <c r="M4" s="1"/>
      <c r="N4" s="5"/>
      <c r="O4" s="5"/>
      <c r="P4" s="51" t="s">
        <v>9</v>
      </c>
      <c r="Q4" s="51" t="s">
        <v>10</v>
      </c>
      <c r="R4" s="51" t="s">
        <v>11</v>
      </c>
      <c r="S4" s="51" t="s">
        <v>11</v>
      </c>
      <c r="T4" s="51" t="s">
        <v>42</v>
      </c>
      <c r="U4" s="51" t="s">
        <v>12</v>
      </c>
      <c r="V4" s="51"/>
      <c r="W4" s="51"/>
      <c r="AD4" s="66" t="s">
        <v>9</v>
      </c>
      <c r="AE4" s="66" t="s">
        <v>10</v>
      </c>
      <c r="AF4" s="66" t="s">
        <v>11</v>
      </c>
      <c r="AG4" s="66" t="s">
        <v>11</v>
      </c>
      <c r="AH4" s="66" t="s">
        <v>42</v>
      </c>
      <c r="AI4" s="66" t="s">
        <v>12</v>
      </c>
      <c r="AJ4" s="66"/>
      <c r="AK4" s="66"/>
    </row>
    <row r="5">
      <c r="B5" s="6">
        <v>1.0</v>
      </c>
      <c r="C5" s="6">
        <v>1.0</v>
      </c>
      <c r="D5" s="6">
        <v>10.0</v>
      </c>
      <c r="E5" s="7">
        <v>0.1232</v>
      </c>
      <c r="F5" s="8">
        <v>0.27</v>
      </c>
      <c r="G5" s="9">
        <v>0.99</v>
      </c>
      <c r="H5" s="10">
        <f t="shared" ref="H5:H26" si="1">LN(E5/D5)</f>
        <v>-4.396531321</v>
      </c>
      <c r="I5" s="11">
        <f t="shared" ref="I5:I26" si="2">E5/D5</f>
        <v>0.01232</v>
      </c>
      <c r="J5" s="5"/>
      <c r="K5" s="1"/>
      <c r="L5" s="1"/>
      <c r="M5" s="1"/>
      <c r="N5" s="1"/>
      <c r="O5" s="1"/>
      <c r="P5" s="6">
        <v>1.0</v>
      </c>
      <c r="Q5" s="6">
        <v>1.0</v>
      </c>
      <c r="R5" s="7">
        <v>15.0</v>
      </c>
      <c r="S5" s="7">
        <v>0.26</v>
      </c>
      <c r="T5" s="7">
        <v>0.27</v>
      </c>
      <c r="U5" s="9">
        <v>0.98</v>
      </c>
      <c r="V5" s="10">
        <f t="shared" ref="V5:V22" si="3">LN(S5/R5)</f>
        <v>-4.055123849</v>
      </c>
      <c r="W5" s="11">
        <f t="shared" ref="W5:W22" si="4">S5/R5</f>
        <v>0.01733333333</v>
      </c>
      <c r="AD5" s="6">
        <v>1.0</v>
      </c>
      <c r="AE5" s="6">
        <v>1.0</v>
      </c>
      <c r="AF5" s="7">
        <v>20.0</v>
      </c>
      <c r="AG5" s="7">
        <v>0.346</v>
      </c>
      <c r="AH5" s="7">
        <v>0.27</v>
      </c>
      <c r="AI5" s="9">
        <v>0.98</v>
      </c>
      <c r="AJ5" s="10">
        <f t="shared" ref="AJ5:AJ18" si="5">LN(AG5/AF5)</f>
        <v>-4.057048777</v>
      </c>
      <c r="AK5" s="11">
        <f t="shared" ref="AK5:AK18" si="6">AG5/AF5</f>
        <v>0.0173</v>
      </c>
    </row>
    <row r="6">
      <c r="B6" s="6">
        <v>2.0</v>
      </c>
      <c r="C6" s="6">
        <v>2.0</v>
      </c>
      <c r="D6" s="6">
        <v>10.0</v>
      </c>
      <c r="E6" s="7">
        <v>0.2229</v>
      </c>
      <c r="F6" s="8">
        <v>0.54</v>
      </c>
      <c r="G6" s="9">
        <v>0.98</v>
      </c>
      <c r="H6" s="10">
        <f t="shared" si="1"/>
        <v>-3.803617132</v>
      </c>
      <c r="I6" s="11">
        <f t="shared" si="2"/>
        <v>0.02229</v>
      </c>
      <c r="J6" s="5"/>
      <c r="K6" s="1"/>
      <c r="L6" s="1"/>
      <c r="M6" s="1"/>
      <c r="N6" s="1"/>
      <c r="O6" s="1"/>
      <c r="P6" s="6">
        <v>2.0</v>
      </c>
      <c r="Q6" s="6">
        <v>2.0</v>
      </c>
      <c r="R6" s="7">
        <v>15.0</v>
      </c>
      <c r="S6" s="7">
        <v>0.501</v>
      </c>
      <c r="T6" s="7">
        <v>0.54</v>
      </c>
      <c r="U6" s="9">
        <v>0.97</v>
      </c>
      <c r="V6" s="10">
        <f t="shared" si="3"/>
        <v>-3.399199379</v>
      </c>
      <c r="W6" s="11">
        <f t="shared" si="4"/>
        <v>0.0334</v>
      </c>
      <c r="AD6" s="6">
        <v>2.0</v>
      </c>
      <c r="AE6" s="6">
        <v>2.0</v>
      </c>
      <c r="AF6" s="7">
        <v>20.0</v>
      </c>
      <c r="AG6" s="7">
        <v>0.668</v>
      </c>
      <c r="AH6" s="7">
        <v>0.54</v>
      </c>
      <c r="AI6" s="9">
        <v>0.97</v>
      </c>
      <c r="AJ6" s="10">
        <f t="shared" si="5"/>
        <v>-3.399199379</v>
      </c>
      <c r="AK6" s="11">
        <f t="shared" si="6"/>
        <v>0.0334</v>
      </c>
    </row>
    <row r="7">
      <c r="B7" s="6">
        <v>3.0</v>
      </c>
      <c r="C7" s="6">
        <v>3.0</v>
      </c>
      <c r="D7" s="6">
        <v>10.0</v>
      </c>
      <c r="E7" s="7">
        <v>0.3133</v>
      </c>
      <c r="F7" s="8">
        <v>0.81</v>
      </c>
      <c r="G7" s="9">
        <v>0.97</v>
      </c>
      <c r="H7" s="10">
        <f t="shared" si="1"/>
        <v>-3.463179174</v>
      </c>
      <c r="I7" s="11">
        <f t="shared" si="2"/>
        <v>0.03133</v>
      </c>
      <c r="J7" s="5"/>
      <c r="K7" s="1"/>
      <c r="L7" s="1"/>
      <c r="M7" s="1"/>
      <c r="N7" s="1"/>
      <c r="O7" s="1"/>
      <c r="P7" s="6">
        <v>3.0</v>
      </c>
      <c r="Q7" s="6">
        <v>3.0</v>
      </c>
      <c r="R7" s="7">
        <v>15.0</v>
      </c>
      <c r="S7" s="7">
        <v>0.517</v>
      </c>
      <c r="T7" s="7">
        <v>0.81</v>
      </c>
      <c r="U7" s="9">
        <v>0.97</v>
      </c>
      <c r="V7" s="10">
        <f t="shared" si="3"/>
        <v>-3.367762606</v>
      </c>
      <c r="W7" s="11">
        <f t="shared" si="4"/>
        <v>0.03446666667</v>
      </c>
      <c r="AD7" s="12">
        <v>3.0</v>
      </c>
      <c r="AE7" s="12">
        <v>3.0</v>
      </c>
      <c r="AF7" s="13">
        <v>20.0</v>
      </c>
      <c r="AG7" s="13">
        <v>0.946</v>
      </c>
      <c r="AH7" s="13">
        <v>0.81</v>
      </c>
      <c r="AI7" s="15">
        <v>0.95</v>
      </c>
      <c r="AJ7" s="10">
        <f t="shared" si="5"/>
        <v>-3.051244983</v>
      </c>
      <c r="AK7" s="11">
        <f t="shared" si="6"/>
        <v>0.0473</v>
      </c>
    </row>
    <row r="8">
      <c r="B8" s="6">
        <v>4.0</v>
      </c>
      <c r="C8" s="6">
        <v>4.0</v>
      </c>
      <c r="D8" s="6">
        <v>10.0</v>
      </c>
      <c r="E8" s="7">
        <v>0.3435</v>
      </c>
      <c r="F8" s="8">
        <v>1.08</v>
      </c>
      <c r="G8" s="9">
        <v>0.97</v>
      </c>
      <c r="H8" s="10">
        <f t="shared" si="1"/>
        <v>-3.37115326</v>
      </c>
      <c r="I8" s="11">
        <f t="shared" si="2"/>
        <v>0.03435</v>
      </c>
      <c r="J8" s="5"/>
      <c r="K8" s="1"/>
      <c r="L8" s="1"/>
      <c r="M8" s="1"/>
      <c r="N8" s="1"/>
      <c r="O8" s="1"/>
      <c r="P8" s="6">
        <v>4.0</v>
      </c>
      <c r="Q8" s="6">
        <v>4.0</v>
      </c>
      <c r="R8" s="7">
        <v>15.0</v>
      </c>
      <c r="S8" s="7">
        <v>0.575</v>
      </c>
      <c r="T8" s="7">
        <v>1.08</v>
      </c>
      <c r="U8" s="9">
        <v>0.96</v>
      </c>
      <c r="V8" s="10">
        <f t="shared" si="3"/>
        <v>-3.261435439</v>
      </c>
      <c r="W8" s="11">
        <f t="shared" si="4"/>
        <v>0.03833333333</v>
      </c>
      <c r="AD8" s="6">
        <v>4.0</v>
      </c>
      <c r="AE8" s="6">
        <v>4.0</v>
      </c>
      <c r="AF8" s="7">
        <v>20.0</v>
      </c>
      <c r="AG8" s="7">
        <v>1.176</v>
      </c>
      <c r="AH8" s="7">
        <v>1.08</v>
      </c>
      <c r="AI8" s="9">
        <v>0.94</v>
      </c>
      <c r="AJ8" s="10">
        <f t="shared" si="5"/>
        <v>-2.833613424</v>
      </c>
      <c r="AK8" s="11">
        <f t="shared" si="6"/>
        <v>0.0588</v>
      </c>
    </row>
    <row r="9">
      <c r="B9" s="6">
        <v>5.0</v>
      </c>
      <c r="C9" s="6">
        <v>5.0</v>
      </c>
      <c r="D9" s="6">
        <v>10.0</v>
      </c>
      <c r="E9" s="7">
        <v>0.2948</v>
      </c>
      <c r="F9" s="8">
        <v>1.35</v>
      </c>
      <c r="G9" s="9">
        <v>0.97</v>
      </c>
      <c r="H9" s="10">
        <f t="shared" si="1"/>
        <v>-3.524043212</v>
      </c>
      <c r="I9" s="11">
        <f t="shared" si="2"/>
        <v>0.02948</v>
      </c>
      <c r="J9" s="5"/>
      <c r="K9" s="1"/>
      <c r="L9" s="1"/>
      <c r="M9" s="1"/>
      <c r="N9" s="1"/>
      <c r="O9" s="1"/>
      <c r="P9" s="6">
        <v>5.0</v>
      </c>
      <c r="Q9" s="6">
        <v>5.0</v>
      </c>
      <c r="R9" s="7">
        <v>15.0</v>
      </c>
      <c r="S9" s="7">
        <v>0.71</v>
      </c>
      <c r="T9" s="7">
        <v>1.35</v>
      </c>
      <c r="U9" s="9">
        <v>0.95</v>
      </c>
      <c r="V9" s="10">
        <f t="shared" si="3"/>
        <v>-3.05054051</v>
      </c>
      <c r="W9" s="11">
        <f t="shared" si="4"/>
        <v>0.04733333333</v>
      </c>
      <c r="AD9" s="6">
        <v>5.0</v>
      </c>
      <c r="AE9" s="6">
        <v>5.0</v>
      </c>
      <c r="AF9" s="7">
        <v>20.0</v>
      </c>
      <c r="AG9" s="7">
        <v>2.265</v>
      </c>
      <c r="AH9" s="7">
        <v>1.35</v>
      </c>
      <c r="AI9" s="9">
        <v>0.89</v>
      </c>
      <c r="AJ9" s="10">
        <f t="shared" si="5"/>
        <v>-2.178157515</v>
      </c>
      <c r="AK9" s="11">
        <f t="shared" si="6"/>
        <v>0.11325</v>
      </c>
    </row>
    <row r="10">
      <c r="B10" s="6">
        <v>6.0</v>
      </c>
      <c r="C10" s="6">
        <v>6.0</v>
      </c>
      <c r="D10" s="6">
        <v>10.0</v>
      </c>
      <c r="E10" s="7">
        <v>0.3597</v>
      </c>
      <c r="F10" s="8">
        <v>1.62</v>
      </c>
      <c r="G10" s="9">
        <v>0.96</v>
      </c>
      <c r="H10" s="10">
        <f t="shared" si="1"/>
        <v>-3.325070021</v>
      </c>
      <c r="I10" s="11">
        <f t="shared" si="2"/>
        <v>0.03597</v>
      </c>
      <c r="J10" s="5"/>
      <c r="K10" s="1"/>
      <c r="L10" s="1"/>
      <c r="M10" s="1"/>
      <c r="N10" s="1"/>
      <c r="O10" s="1"/>
      <c r="P10" s="12">
        <v>6.0</v>
      </c>
      <c r="Q10" s="12">
        <v>6.0</v>
      </c>
      <c r="R10" s="13">
        <v>15.0</v>
      </c>
      <c r="S10" s="13">
        <v>0.882</v>
      </c>
      <c r="T10" s="13">
        <v>1.62</v>
      </c>
      <c r="U10" s="15">
        <v>0.94</v>
      </c>
      <c r="V10" s="10">
        <f t="shared" si="3"/>
        <v>-2.833613424</v>
      </c>
      <c r="W10" s="11">
        <f t="shared" si="4"/>
        <v>0.0588</v>
      </c>
      <c r="AD10" s="6">
        <v>6.0</v>
      </c>
      <c r="AE10" s="6">
        <v>6.0</v>
      </c>
      <c r="AF10" s="7">
        <v>20.0</v>
      </c>
      <c r="AG10" s="7">
        <v>3.638</v>
      </c>
      <c r="AH10" s="7">
        <v>1.62</v>
      </c>
      <c r="AI10" s="9">
        <v>0.82</v>
      </c>
      <c r="AJ10" s="10">
        <f t="shared" si="5"/>
        <v>-1.704298193</v>
      </c>
      <c r="AK10" s="11">
        <f t="shared" si="6"/>
        <v>0.1819</v>
      </c>
    </row>
    <row r="11">
      <c r="B11" s="6">
        <v>7.0</v>
      </c>
      <c r="C11" s="6">
        <v>7.0</v>
      </c>
      <c r="D11" s="6">
        <v>10.0</v>
      </c>
      <c r="E11" s="7">
        <v>0.4223</v>
      </c>
      <c r="F11" s="8">
        <v>1.89</v>
      </c>
      <c r="G11" s="9">
        <v>0.96</v>
      </c>
      <c r="H11" s="10">
        <f t="shared" si="1"/>
        <v>-3.16462441</v>
      </c>
      <c r="I11" s="11">
        <f t="shared" si="2"/>
        <v>0.04223</v>
      </c>
      <c r="J11" s="5"/>
      <c r="K11" s="1"/>
      <c r="L11" s="1"/>
      <c r="M11" s="1"/>
      <c r="N11" s="1"/>
      <c r="O11" s="1"/>
      <c r="P11" s="6">
        <v>7.0</v>
      </c>
      <c r="Q11" s="6">
        <v>7.0</v>
      </c>
      <c r="R11" s="7">
        <v>15.0</v>
      </c>
      <c r="S11" s="7">
        <v>1.699</v>
      </c>
      <c r="T11" s="7">
        <v>1.89</v>
      </c>
      <c r="U11" s="9">
        <v>0.89</v>
      </c>
      <c r="V11" s="10">
        <f t="shared" si="3"/>
        <v>-2.178010358</v>
      </c>
      <c r="W11" s="11">
        <f t="shared" si="4"/>
        <v>0.1132666667</v>
      </c>
      <c r="AD11" s="6">
        <v>7.0</v>
      </c>
      <c r="AE11" s="6">
        <v>7.0</v>
      </c>
      <c r="AF11" s="7">
        <v>20.0</v>
      </c>
      <c r="AG11" s="7">
        <v>5.493</v>
      </c>
      <c r="AH11" s="7">
        <v>1.89</v>
      </c>
      <c r="AI11" s="9">
        <v>0.73</v>
      </c>
      <c r="AJ11" s="10">
        <f t="shared" si="5"/>
        <v>-1.292257719</v>
      </c>
      <c r="AK11" s="11">
        <f t="shared" si="6"/>
        <v>0.27465</v>
      </c>
    </row>
    <row r="12">
      <c r="B12" s="6">
        <v>8.0</v>
      </c>
      <c r="C12" s="6">
        <v>8.0</v>
      </c>
      <c r="D12" s="6">
        <v>10.0</v>
      </c>
      <c r="E12" s="7">
        <v>0.4826</v>
      </c>
      <c r="F12" s="8">
        <v>2.16</v>
      </c>
      <c r="G12" s="9">
        <v>0.95</v>
      </c>
      <c r="H12" s="10">
        <f t="shared" si="1"/>
        <v>-3.031152219</v>
      </c>
      <c r="I12" s="11">
        <f t="shared" si="2"/>
        <v>0.04826</v>
      </c>
      <c r="J12" s="5"/>
      <c r="K12" s="1"/>
      <c r="L12" s="1"/>
      <c r="M12" s="1"/>
      <c r="N12" s="1"/>
      <c r="O12" s="1"/>
      <c r="P12" s="6">
        <v>8.0</v>
      </c>
      <c r="Q12" s="6">
        <v>8.0</v>
      </c>
      <c r="R12" s="7">
        <v>15.0</v>
      </c>
      <c r="S12" s="7">
        <v>2.729</v>
      </c>
      <c r="T12" s="7">
        <v>2.16</v>
      </c>
      <c r="U12" s="9">
        <v>0.82</v>
      </c>
      <c r="V12" s="10">
        <f t="shared" si="3"/>
        <v>-1.704114959</v>
      </c>
      <c r="W12" s="11">
        <f t="shared" si="4"/>
        <v>0.1819333333</v>
      </c>
      <c r="AD12" s="6">
        <v>8.0</v>
      </c>
      <c r="AE12" s="6">
        <v>8.0</v>
      </c>
      <c r="AF12" s="7">
        <v>20.0</v>
      </c>
      <c r="AG12" s="7">
        <v>5.568</v>
      </c>
      <c r="AH12" s="7">
        <v>2.16</v>
      </c>
      <c r="AI12" s="9">
        <v>0.72</v>
      </c>
      <c r="AJ12" s="10">
        <f t="shared" si="5"/>
        <v>-1.278696351</v>
      </c>
      <c r="AK12" s="11">
        <f t="shared" si="6"/>
        <v>0.2784</v>
      </c>
    </row>
    <row r="13">
      <c r="B13" s="12">
        <v>9.0</v>
      </c>
      <c r="C13" s="12">
        <v>9.0</v>
      </c>
      <c r="D13" s="12">
        <v>10.0</v>
      </c>
      <c r="E13" s="13">
        <v>1.3374</v>
      </c>
      <c r="F13" s="14">
        <v>2.43</v>
      </c>
      <c r="G13" s="15">
        <v>0.87</v>
      </c>
      <c r="H13" s="10">
        <f t="shared" si="1"/>
        <v>-2.011857662</v>
      </c>
      <c r="I13" s="11">
        <f t="shared" si="2"/>
        <v>0.13374</v>
      </c>
      <c r="J13" s="5"/>
      <c r="K13" s="1"/>
      <c r="L13" s="1"/>
      <c r="M13" s="1"/>
      <c r="N13" s="1"/>
      <c r="O13" s="1"/>
      <c r="P13" s="6">
        <v>9.0</v>
      </c>
      <c r="Q13" s="6">
        <v>9.0</v>
      </c>
      <c r="R13" s="7">
        <v>15.0</v>
      </c>
      <c r="S13" s="7">
        <v>4.12</v>
      </c>
      <c r="T13" s="7">
        <v>2.43</v>
      </c>
      <c r="U13" s="9">
        <v>0.73</v>
      </c>
      <c r="V13" s="10">
        <f t="shared" si="3"/>
        <v>-1.292197038</v>
      </c>
      <c r="W13" s="11">
        <f t="shared" si="4"/>
        <v>0.2746666667</v>
      </c>
      <c r="AD13" s="6">
        <v>9.0</v>
      </c>
      <c r="AE13" s="6">
        <v>9.0</v>
      </c>
      <c r="AF13" s="7">
        <v>20.0</v>
      </c>
      <c r="AG13" s="7">
        <v>8.24</v>
      </c>
      <c r="AH13" s="7">
        <v>2.43</v>
      </c>
      <c r="AI13" s="9">
        <v>0.59</v>
      </c>
      <c r="AJ13" s="10">
        <f t="shared" si="5"/>
        <v>-0.8867319296</v>
      </c>
      <c r="AK13" s="11">
        <f t="shared" si="6"/>
        <v>0.412</v>
      </c>
    </row>
    <row r="14">
      <c r="B14" s="6">
        <v>10.0</v>
      </c>
      <c r="C14" s="6">
        <v>10.0</v>
      </c>
      <c r="D14" s="6">
        <v>10.0</v>
      </c>
      <c r="E14" s="7">
        <v>2.0053</v>
      </c>
      <c r="F14" s="8">
        <v>2.7</v>
      </c>
      <c r="G14" s="9">
        <v>0.8</v>
      </c>
      <c r="H14" s="10">
        <f t="shared" si="1"/>
        <v>-1.606791417</v>
      </c>
      <c r="I14" s="11">
        <f t="shared" si="2"/>
        <v>0.20053</v>
      </c>
      <c r="J14" s="5"/>
      <c r="K14" s="1"/>
      <c r="L14" s="1"/>
      <c r="M14" s="1"/>
      <c r="N14" s="1"/>
      <c r="O14" s="1"/>
      <c r="P14" s="6">
        <v>10.0</v>
      </c>
      <c r="Q14" s="6">
        <v>10.0</v>
      </c>
      <c r="R14" s="7">
        <v>15.0</v>
      </c>
      <c r="S14" s="7">
        <v>4.176</v>
      </c>
      <c r="T14" s="7">
        <v>2.7</v>
      </c>
      <c r="U14" s="9">
        <v>0.72</v>
      </c>
      <c r="V14" s="10">
        <f t="shared" si="3"/>
        <v>-1.278696351</v>
      </c>
      <c r="W14" s="11">
        <f t="shared" si="4"/>
        <v>0.2784</v>
      </c>
      <c r="AD14" s="6">
        <v>10.0</v>
      </c>
      <c r="AE14" s="6">
        <v>10.0</v>
      </c>
      <c r="AF14" s="7">
        <v>20.0</v>
      </c>
      <c r="AG14" s="7">
        <v>11.728</v>
      </c>
      <c r="AH14" s="7">
        <v>2.7</v>
      </c>
      <c r="AI14" s="9">
        <v>0.41</v>
      </c>
      <c r="AJ14" s="10">
        <f t="shared" si="5"/>
        <v>-0.5337531284</v>
      </c>
      <c r="AK14" s="11">
        <f t="shared" si="6"/>
        <v>0.5864</v>
      </c>
    </row>
    <row r="15">
      <c r="B15" s="6">
        <v>11.0</v>
      </c>
      <c r="C15" s="6">
        <v>11.0</v>
      </c>
      <c r="D15" s="6">
        <v>10.0</v>
      </c>
      <c r="E15" s="7">
        <v>3.4663</v>
      </c>
      <c r="F15" s="8">
        <v>2.97</v>
      </c>
      <c r="G15" s="9">
        <v>0.65</v>
      </c>
      <c r="H15" s="10">
        <f t="shared" si="1"/>
        <v>-1.05949735</v>
      </c>
      <c r="I15" s="11">
        <f t="shared" si="2"/>
        <v>0.34663</v>
      </c>
      <c r="J15" s="5"/>
      <c r="K15" s="1"/>
      <c r="L15" s="1"/>
      <c r="M15" s="1"/>
      <c r="N15" s="1"/>
      <c r="O15" s="1"/>
      <c r="P15" s="6">
        <v>11.0</v>
      </c>
      <c r="Q15" s="6">
        <v>11.0</v>
      </c>
      <c r="R15" s="7">
        <v>15.0</v>
      </c>
      <c r="S15" s="7">
        <v>6.18</v>
      </c>
      <c r="T15" s="7">
        <v>2.97</v>
      </c>
      <c r="U15" s="9">
        <v>0.59</v>
      </c>
      <c r="V15" s="10">
        <f t="shared" si="3"/>
        <v>-0.8867319296</v>
      </c>
      <c r="W15" s="11">
        <f t="shared" si="4"/>
        <v>0.412</v>
      </c>
      <c r="AD15" s="6">
        <v>11.0</v>
      </c>
      <c r="AE15" s="6">
        <v>11.0</v>
      </c>
      <c r="AF15" s="7">
        <v>20.0</v>
      </c>
      <c r="AG15" s="7">
        <v>14.752</v>
      </c>
      <c r="AH15" s="7">
        <v>2.97</v>
      </c>
      <c r="AI15" s="9">
        <v>0.26</v>
      </c>
      <c r="AJ15" s="10">
        <f t="shared" si="5"/>
        <v>-0.3043536067</v>
      </c>
      <c r="AK15" s="11">
        <f t="shared" si="6"/>
        <v>0.7376</v>
      </c>
    </row>
    <row r="16">
      <c r="B16" s="6">
        <v>12.0</v>
      </c>
      <c r="C16" s="6">
        <v>12.0</v>
      </c>
      <c r="D16" s="6">
        <v>10.0</v>
      </c>
      <c r="E16" s="7">
        <v>3.1463</v>
      </c>
      <c r="F16" s="8">
        <v>3.24</v>
      </c>
      <c r="G16" s="9">
        <v>0.69</v>
      </c>
      <c r="H16" s="10">
        <f t="shared" si="1"/>
        <v>-1.156357934</v>
      </c>
      <c r="I16" s="11">
        <f t="shared" si="2"/>
        <v>0.31463</v>
      </c>
      <c r="J16" s="5"/>
      <c r="K16" s="1"/>
      <c r="L16" s="1"/>
      <c r="M16" s="1"/>
      <c r="N16" s="1"/>
      <c r="O16" s="1"/>
      <c r="P16" s="6">
        <v>12.0</v>
      </c>
      <c r="Q16" s="6">
        <v>12.0</v>
      </c>
      <c r="R16" s="7">
        <v>15.0</v>
      </c>
      <c r="S16" s="7">
        <v>7.33</v>
      </c>
      <c r="T16" s="7">
        <v>3.24</v>
      </c>
      <c r="U16" s="9">
        <v>0.51</v>
      </c>
      <c r="V16" s="10">
        <f t="shared" si="3"/>
        <v>-0.7160746852</v>
      </c>
      <c r="W16" s="11">
        <f t="shared" si="4"/>
        <v>0.4886666667</v>
      </c>
      <c r="AD16" s="6">
        <v>12.0</v>
      </c>
      <c r="AE16" s="6">
        <v>12.0</v>
      </c>
      <c r="AF16" s="7">
        <v>20.0</v>
      </c>
      <c r="AG16" s="7">
        <v>18.216</v>
      </c>
      <c r="AH16" s="7">
        <v>3.24</v>
      </c>
      <c r="AI16" s="9">
        <v>0.09</v>
      </c>
      <c r="AJ16" s="10">
        <f t="shared" si="5"/>
        <v>-0.09343194479</v>
      </c>
      <c r="AK16" s="11">
        <f t="shared" si="6"/>
        <v>0.9108</v>
      </c>
    </row>
    <row r="17">
      <c r="B17" s="6">
        <v>13.0</v>
      </c>
      <c r="C17" s="6">
        <v>13.0</v>
      </c>
      <c r="D17" s="6">
        <v>10.0</v>
      </c>
      <c r="E17" s="7">
        <v>3.2019</v>
      </c>
      <c r="F17" s="8">
        <v>3.51</v>
      </c>
      <c r="G17" s="9">
        <v>0.68</v>
      </c>
      <c r="H17" s="10">
        <f t="shared" si="1"/>
        <v>-1.138840709</v>
      </c>
      <c r="I17" s="11">
        <f t="shared" si="2"/>
        <v>0.32019</v>
      </c>
      <c r="J17" s="5"/>
      <c r="K17" s="1"/>
      <c r="L17" s="1"/>
      <c r="M17" s="1"/>
      <c r="N17" s="1"/>
      <c r="O17" s="1"/>
      <c r="P17" s="6">
        <v>13.0</v>
      </c>
      <c r="Q17" s="6">
        <v>13.0</v>
      </c>
      <c r="R17" s="7">
        <v>15.0</v>
      </c>
      <c r="S17" s="7">
        <v>8.796</v>
      </c>
      <c r="T17" s="7">
        <v>3.51</v>
      </c>
      <c r="U17" s="9">
        <v>0.41</v>
      </c>
      <c r="V17" s="10">
        <f t="shared" si="3"/>
        <v>-0.5337531284</v>
      </c>
      <c r="W17" s="11">
        <f t="shared" si="4"/>
        <v>0.5864</v>
      </c>
      <c r="AD17" s="6">
        <v>13.0</v>
      </c>
      <c r="AE17" s="6">
        <v>13.0</v>
      </c>
      <c r="AF17" s="7">
        <v>20.0</v>
      </c>
      <c r="AG17" s="7">
        <v>18.957</v>
      </c>
      <c r="AH17" s="7">
        <v>3.51</v>
      </c>
      <c r="AI17" s="9">
        <v>0.05</v>
      </c>
      <c r="AJ17" s="10">
        <f t="shared" si="5"/>
        <v>-0.05355901709</v>
      </c>
      <c r="AK17" s="11">
        <f t="shared" si="6"/>
        <v>0.94785</v>
      </c>
    </row>
    <row r="18">
      <c r="B18" s="6">
        <v>14.0</v>
      </c>
      <c r="C18" s="6">
        <v>14.0</v>
      </c>
      <c r="D18" s="6">
        <v>10.0</v>
      </c>
      <c r="E18" s="7">
        <v>5.1916</v>
      </c>
      <c r="F18" s="8">
        <v>3.78</v>
      </c>
      <c r="G18" s="9">
        <v>0.48</v>
      </c>
      <c r="H18" s="10">
        <f t="shared" si="1"/>
        <v>-0.6555431582</v>
      </c>
      <c r="I18" s="11">
        <f t="shared" si="2"/>
        <v>0.51916</v>
      </c>
      <c r="J18" s="5"/>
      <c r="K18" s="1"/>
      <c r="L18" s="1"/>
      <c r="M18" s="1"/>
      <c r="N18" s="1"/>
      <c r="O18" s="1"/>
      <c r="P18" s="6">
        <v>14.0</v>
      </c>
      <c r="Q18" s="6">
        <v>14.0</v>
      </c>
      <c r="R18" s="7">
        <v>15.0</v>
      </c>
      <c r="S18" s="7">
        <v>11.064</v>
      </c>
      <c r="T18" s="7">
        <v>3.78</v>
      </c>
      <c r="U18" s="9">
        <v>0.26</v>
      </c>
      <c r="V18" s="10">
        <f t="shared" si="3"/>
        <v>-0.3043536067</v>
      </c>
      <c r="W18" s="11">
        <f t="shared" si="4"/>
        <v>0.7376</v>
      </c>
      <c r="AD18" s="18">
        <v>14.0</v>
      </c>
      <c r="AE18" s="18">
        <v>14.0</v>
      </c>
      <c r="AF18" s="19">
        <v>20.0</v>
      </c>
      <c r="AG18" s="19">
        <v>19.175</v>
      </c>
      <c r="AH18" s="19">
        <v>3.78</v>
      </c>
      <c r="AI18" s="21">
        <v>0.04</v>
      </c>
      <c r="AJ18" s="10">
        <f t="shared" si="5"/>
        <v>-0.0421249263</v>
      </c>
      <c r="AK18" s="11">
        <f t="shared" si="6"/>
        <v>0.95875</v>
      </c>
    </row>
    <row r="19">
      <c r="B19" s="6">
        <v>15.0</v>
      </c>
      <c r="C19" s="6">
        <v>15.0</v>
      </c>
      <c r="D19" s="6">
        <v>10.0</v>
      </c>
      <c r="E19" s="7">
        <v>6.1934</v>
      </c>
      <c r="F19" s="8">
        <v>4.05</v>
      </c>
      <c r="G19" s="9">
        <v>0.38</v>
      </c>
      <c r="H19" s="10">
        <f t="shared" si="1"/>
        <v>-0.4791008841</v>
      </c>
      <c r="I19" s="11">
        <f t="shared" si="2"/>
        <v>0.61934</v>
      </c>
      <c r="J19" s="5"/>
      <c r="K19" s="1"/>
      <c r="L19" s="1"/>
      <c r="M19" s="1"/>
      <c r="N19" s="1"/>
      <c r="O19" s="1"/>
      <c r="P19" s="6">
        <v>15.0</v>
      </c>
      <c r="Q19" s="6">
        <v>15.0</v>
      </c>
      <c r="R19" s="7">
        <v>15.0</v>
      </c>
      <c r="S19" s="7">
        <v>13.662</v>
      </c>
      <c r="T19" s="7">
        <v>4.05</v>
      </c>
      <c r="U19" s="9">
        <v>0.09</v>
      </c>
      <c r="V19" s="10">
        <f t="shared" si="3"/>
        <v>-0.09343194479</v>
      </c>
      <c r="W19" s="11">
        <f t="shared" si="4"/>
        <v>0.9108</v>
      </c>
      <c r="AD19" s="24" t="s">
        <v>13</v>
      </c>
      <c r="AJ19" s="80"/>
      <c r="AK19" s="80"/>
    </row>
    <row r="20">
      <c r="B20" s="6">
        <v>16.0</v>
      </c>
      <c r="C20" s="6">
        <v>16.0</v>
      </c>
      <c r="D20" s="6">
        <v>10.0</v>
      </c>
      <c r="E20" s="7">
        <v>6.9031</v>
      </c>
      <c r="F20" s="8">
        <v>4.32</v>
      </c>
      <c r="G20" s="9">
        <v>0.31</v>
      </c>
      <c r="H20" s="10">
        <f t="shared" si="1"/>
        <v>-0.3706145069</v>
      </c>
      <c r="I20" s="11">
        <f t="shared" si="2"/>
        <v>0.69031</v>
      </c>
      <c r="J20" s="5"/>
      <c r="K20" s="1"/>
      <c r="L20" s="1"/>
      <c r="M20" s="1"/>
      <c r="N20" s="1"/>
      <c r="O20" s="1"/>
      <c r="P20" s="6">
        <v>16.0</v>
      </c>
      <c r="Q20" s="6">
        <v>16.0</v>
      </c>
      <c r="R20" s="7">
        <v>15.0</v>
      </c>
      <c r="S20" s="7">
        <v>14.218</v>
      </c>
      <c r="T20" s="7">
        <v>4.32</v>
      </c>
      <c r="U20" s="9">
        <v>0.05</v>
      </c>
      <c r="V20" s="10">
        <f t="shared" si="3"/>
        <v>-0.05354143359</v>
      </c>
      <c r="W20" s="11">
        <f t="shared" si="4"/>
        <v>0.9478666667</v>
      </c>
      <c r="AD20" s="25" t="s">
        <v>14</v>
      </c>
      <c r="AJ20" s="80"/>
      <c r="AK20" s="80"/>
    </row>
    <row r="21">
      <c r="B21" s="6">
        <v>17.0</v>
      </c>
      <c r="C21" s="6">
        <v>17.0</v>
      </c>
      <c r="D21" s="6">
        <v>10.0</v>
      </c>
      <c r="E21" s="7">
        <v>8.0997</v>
      </c>
      <c r="F21" s="8">
        <v>4.59</v>
      </c>
      <c r="G21" s="9">
        <v>0.19</v>
      </c>
      <c r="H21" s="10">
        <f t="shared" si="1"/>
        <v>-0.210758069</v>
      </c>
      <c r="I21" s="11">
        <f t="shared" si="2"/>
        <v>0.80997</v>
      </c>
      <c r="J21" s="5"/>
      <c r="K21" s="1"/>
      <c r="L21" s="1"/>
      <c r="M21" s="1"/>
      <c r="N21" s="1"/>
      <c r="O21" s="1"/>
      <c r="P21" s="6">
        <v>17.0</v>
      </c>
      <c r="Q21" s="6">
        <v>17.0</v>
      </c>
      <c r="R21" s="7">
        <v>15.0</v>
      </c>
      <c r="S21" s="7">
        <v>14.056</v>
      </c>
      <c r="T21" s="7">
        <v>4.59</v>
      </c>
      <c r="U21" s="9">
        <v>0.06</v>
      </c>
      <c r="V21" s="10">
        <f t="shared" si="3"/>
        <v>-0.06500085022</v>
      </c>
      <c r="W21" s="11">
        <f t="shared" si="4"/>
        <v>0.9370666667</v>
      </c>
      <c r="AD21" s="25" t="s">
        <v>14</v>
      </c>
      <c r="AJ21" s="80"/>
      <c r="AK21" s="80"/>
    </row>
    <row r="22">
      <c r="B22" s="6">
        <v>18.0</v>
      </c>
      <c r="C22" s="6">
        <v>18.0</v>
      </c>
      <c r="D22" s="6">
        <v>10.0</v>
      </c>
      <c r="E22" s="7">
        <v>8.5449</v>
      </c>
      <c r="F22" s="8">
        <v>4.86</v>
      </c>
      <c r="G22" s="9">
        <v>0.15</v>
      </c>
      <c r="H22" s="10">
        <f t="shared" si="1"/>
        <v>-0.1572504792</v>
      </c>
      <c r="I22" s="11">
        <f t="shared" si="2"/>
        <v>0.85449</v>
      </c>
      <c r="J22" s="5"/>
      <c r="K22" s="1"/>
      <c r="L22" s="1"/>
      <c r="M22" s="1"/>
      <c r="N22" s="1"/>
      <c r="O22" s="1"/>
      <c r="P22" s="18">
        <v>18.0</v>
      </c>
      <c r="Q22" s="18">
        <v>18.0</v>
      </c>
      <c r="R22" s="19">
        <v>15.0</v>
      </c>
      <c r="S22" s="19">
        <v>14.381</v>
      </c>
      <c r="T22" s="19">
        <v>4.86</v>
      </c>
      <c r="U22" s="21">
        <v>0.04</v>
      </c>
      <c r="V22" s="10">
        <f t="shared" si="3"/>
        <v>-0.0421423102</v>
      </c>
      <c r="W22" s="11">
        <f t="shared" si="4"/>
        <v>0.9587333333</v>
      </c>
      <c r="AJ22" s="80"/>
      <c r="AK22" s="80"/>
    </row>
    <row r="23">
      <c r="B23" s="6">
        <v>19.0</v>
      </c>
      <c r="C23" s="6">
        <v>19.0</v>
      </c>
      <c r="D23" s="6">
        <v>10.0</v>
      </c>
      <c r="E23" s="7">
        <v>9.5189</v>
      </c>
      <c r="F23" s="8">
        <v>5.13</v>
      </c>
      <c r="G23" s="9">
        <v>0.05</v>
      </c>
      <c r="H23" s="10">
        <f t="shared" si="1"/>
        <v>-0.04930579709</v>
      </c>
      <c r="I23" s="11">
        <f t="shared" si="2"/>
        <v>0.95189</v>
      </c>
      <c r="J23" s="5"/>
      <c r="K23" s="1"/>
      <c r="L23" s="1"/>
      <c r="M23" s="1"/>
      <c r="N23" s="1"/>
      <c r="O23" s="1"/>
      <c r="P23" s="24" t="s">
        <v>13</v>
      </c>
      <c r="V23" s="80"/>
      <c r="W23" s="81"/>
    </row>
    <row r="24">
      <c r="B24" s="6">
        <v>20.0</v>
      </c>
      <c r="C24" s="6">
        <v>20.0</v>
      </c>
      <c r="D24" s="6">
        <v>10.0</v>
      </c>
      <c r="E24" s="7">
        <v>9.6024</v>
      </c>
      <c r="F24" s="8">
        <v>5.4</v>
      </c>
      <c r="G24" s="9">
        <v>0.04</v>
      </c>
      <c r="H24" s="10">
        <f t="shared" si="1"/>
        <v>-0.04057202577</v>
      </c>
      <c r="I24" s="11">
        <f t="shared" si="2"/>
        <v>0.96024</v>
      </c>
      <c r="J24" s="5"/>
      <c r="K24" s="1"/>
      <c r="L24" s="1"/>
      <c r="M24" s="1"/>
      <c r="N24" s="1"/>
      <c r="O24" s="1"/>
      <c r="P24" s="25" t="s">
        <v>14</v>
      </c>
      <c r="V24" s="80"/>
      <c r="W24" s="81"/>
    </row>
    <row r="25">
      <c r="B25" s="6">
        <v>21.0</v>
      </c>
      <c r="C25" s="6">
        <v>21.0</v>
      </c>
      <c r="D25" s="6">
        <v>10.0</v>
      </c>
      <c r="E25" s="7">
        <v>9.2545</v>
      </c>
      <c r="F25" s="8">
        <v>5.67</v>
      </c>
      <c r="G25" s="9">
        <v>0.07</v>
      </c>
      <c r="H25" s="10">
        <f t="shared" si="1"/>
        <v>-0.07747517328</v>
      </c>
      <c r="I25" s="11">
        <f t="shared" si="2"/>
        <v>0.92545</v>
      </c>
      <c r="J25" s="5"/>
      <c r="K25" s="1"/>
      <c r="L25" s="1"/>
      <c r="M25" s="1"/>
      <c r="N25" s="1"/>
      <c r="O25" s="1"/>
      <c r="P25" s="25" t="s">
        <v>14</v>
      </c>
      <c r="V25" s="80"/>
      <c r="W25" s="81"/>
    </row>
    <row r="26">
      <c r="B26" s="18">
        <v>22.0</v>
      </c>
      <c r="C26" s="18">
        <v>22.0</v>
      </c>
      <c r="D26" s="18">
        <v>10.0</v>
      </c>
      <c r="E26" s="19">
        <v>9.4911</v>
      </c>
      <c r="F26" s="20">
        <v>5.94</v>
      </c>
      <c r="G26" s="21">
        <v>0.05</v>
      </c>
      <c r="H26" s="10">
        <f t="shared" si="1"/>
        <v>-0.0522305756</v>
      </c>
      <c r="I26" s="11">
        <f t="shared" si="2"/>
        <v>0.94911</v>
      </c>
      <c r="J26" s="5"/>
      <c r="K26" s="1"/>
      <c r="L26" s="1"/>
      <c r="M26" s="1"/>
      <c r="N26" s="1"/>
      <c r="O26" s="1"/>
      <c r="P26" s="1"/>
      <c r="V26" s="82"/>
      <c r="W26" s="83"/>
    </row>
    <row r="27">
      <c r="B27" s="24" t="s">
        <v>13</v>
      </c>
      <c r="H27" s="1"/>
      <c r="I27" s="5"/>
      <c r="J27" s="1"/>
      <c r="K27" s="1"/>
      <c r="L27" s="1"/>
      <c r="M27" s="1"/>
      <c r="N27" s="1"/>
      <c r="O27" s="1"/>
      <c r="P27" s="1"/>
    </row>
    <row r="28">
      <c r="B28" s="25" t="s">
        <v>14</v>
      </c>
      <c r="H28" s="1"/>
      <c r="I28" s="5"/>
      <c r="J28" s="1"/>
      <c r="K28" s="1"/>
      <c r="L28" s="1"/>
      <c r="M28" s="1"/>
      <c r="N28" s="1"/>
      <c r="O28" s="1"/>
      <c r="P28" s="1"/>
    </row>
    <row r="31">
      <c r="B31" s="2"/>
      <c r="K31" s="40"/>
      <c r="L31" s="1"/>
      <c r="M31" s="1"/>
      <c r="N31" s="1"/>
      <c r="P31" s="2"/>
      <c r="Y31" s="40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>
      <c r="B32" s="34" t="s">
        <v>2</v>
      </c>
      <c r="C32" s="34" t="s">
        <v>16</v>
      </c>
      <c r="D32" s="28" t="s">
        <v>17</v>
      </c>
      <c r="E32" s="28" t="s">
        <v>17</v>
      </c>
      <c r="F32" s="28" t="s">
        <v>17</v>
      </c>
      <c r="G32" s="34" t="s">
        <v>29</v>
      </c>
      <c r="H32" s="34" t="s">
        <v>30</v>
      </c>
      <c r="I32" s="34" t="s">
        <v>31</v>
      </c>
      <c r="J32" s="34" t="s">
        <v>19</v>
      </c>
      <c r="K32" s="41" t="s">
        <v>32</v>
      </c>
      <c r="L32" s="3" t="s">
        <v>33</v>
      </c>
      <c r="M32" s="3" t="s">
        <v>1</v>
      </c>
      <c r="N32" s="3" t="s">
        <v>24</v>
      </c>
      <c r="P32" s="57" t="s">
        <v>2</v>
      </c>
      <c r="Q32" s="57" t="s">
        <v>16</v>
      </c>
      <c r="R32" s="53" t="s">
        <v>17</v>
      </c>
      <c r="S32" s="53" t="s">
        <v>17</v>
      </c>
      <c r="T32" s="53" t="s">
        <v>17</v>
      </c>
      <c r="U32" s="57" t="s">
        <v>29</v>
      </c>
      <c r="V32" s="57" t="s">
        <v>30</v>
      </c>
      <c r="W32" s="57" t="s">
        <v>31</v>
      </c>
      <c r="X32" s="57" t="s">
        <v>19</v>
      </c>
      <c r="Y32" s="61" t="s">
        <v>32</v>
      </c>
      <c r="Z32" s="50" t="s">
        <v>33</v>
      </c>
      <c r="AA32" s="50" t="s">
        <v>1</v>
      </c>
      <c r="AB32" s="50" t="s">
        <v>24</v>
      </c>
      <c r="AC32" s="2"/>
      <c r="AD32" s="72" t="s">
        <v>2</v>
      </c>
      <c r="AE32" s="72" t="s">
        <v>16</v>
      </c>
      <c r="AF32" s="68" t="s">
        <v>17</v>
      </c>
      <c r="AG32" s="68" t="s">
        <v>17</v>
      </c>
      <c r="AH32" s="68" t="s">
        <v>17</v>
      </c>
      <c r="AI32" s="72" t="s">
        <v>29</v>
      </c>
      <c r="AJ32" s="72" t="s">
        <v>30</v>
      </c>
      <c r="AK32" s="72" t="s">
        <v>31</v>
      </c>
      <c r="AL32" s="72" t="s">
        <v>19</v>
      </c>
      <c r="AM32" s="76" t="s">
        <v>32</v>
      </c>
      <c r="AN32" s="65" t="s">
        <v>33</v>
      </c>
      <c r="AO32" s="65" t="s">
        <v>1</v>
      </c>
      <c r="AP32" s="65" t="s">
        <v>24</v>
      </c>
      <c r="AQ32" s="2"/>
      <c r="AR32" s="2"/>
      <c r="AS32" s="2"/>
      <c r="AT32" s="2"/>
    </row>
    <row r="33">
      <c r="B33" s="42" t="s">
        <v>10</v>
      </c>
      <c r="C33" s="30" t="s">
        <v>25</v>
      </c>
      <c r="D33" s="42" t="s">
        <v>34</v>
      </c>
      <c r="E33" s="42" t="s">
        <v>35</v>
      </c>
      <c r="F33" s="30" t="s">
        <v>26</v>
      </c>
      <c r="G33" s="42" t="s">
        <v>36</v>
      </c>
      <c r="H33" s="42" t="s">
        <v>37</v>
      </c>
      <c r="I33" s="42" t="s">
        <v>38</v>
      </c>
      <c r="J33" s="30"/>
      <c r="K33" s="43"/>
      <c r="L33" s="4" t="s">
        <v>39</v>
      </c>
      <c r="M33" s="4" t="s">
        <v>38</v>
      </c>
      <c r="N33" s="44"/>
      <c r="P33" s="62" t="s">
        <v>10</v>
      </c>
      <c r="Q33" s="55" t="s">
        <v>25</v>
      </c>
      <c r="R33" s="62" t="s">
        <v>34</v>
      </c>
      <c r="S33" s="62" t="s">
        <v>35</v>
      </c>
      <c r="T33" s="55" t="s">
        <v>26</v>
      </c>
      <c r="U33" s="62" t="s">
        <v>36</v>
      </c>
      <c r="V33" s="62" t="s">
        <v>37</v>
      </c>
      <c r="W33" s="62" t="s">
        <v>38</v>
      </c>
      <c r="X33" s="55"/>
      <c r="Y33" s="63"/>
      <c r="Z33" s="51" t="s">
        <v>39</v>
      </c>
      <c r="AA33" s="51" t="s">
        <v>38</v>
      </c>
      <c r="AB33" s="64"/>
      <c r="AC33" s="1"/>
      <c r="AD33" s="77" t="s">
        <v>10</v>
      </c>
      <c r="AE33" s="70" t="s">
        <v>25</v>
      </c>
      <c r="AF33" s="77" t="s">
        <v>34</v>
      </c>
      <c r="AG33" s="77" t="s">
        <v>35</v>
      </c>
      <c r="AH33" s="70" t="s">
        <v>26</v>
      </c>
      <c r="AI33" s="77" t="s">
        <v>36</v>
      </c>
      <c r="AJ33" s="77" t="s">
        <v>37</v>
      </c>
      <c r="AK33" s="77" t="s">
        <v>38</v>
      </c>
      <c r="AL33" s="70"/>
      <c r="AM33" s="78"/>
      <c r="AN33" s="66" t="s">
        <v>39</v>
      </c>
      <c r="AO33" s="66" t="s">
        <v>38</v>
      </c>
      <c r="AP33" s="79"/>
      <c r="AQ33" s="1"/>
      <c r="AR33" s="1"/>
      <c r="AS33" s="1"/>
      <c r="AT33" s="1"/>
    </row>
    <row r="34">
      <c r="B34" s="45">
        <v>1.0</v>
      </c>
      <c r="C34" s="32">
        <v>20.0</v>
      </c>
      <c r="D34" s="45">
        <v>4.5</v>
      </c>
      <c r="E34" s="32">
        <f t="shared" ref="E34:E55" si="7">D34*60</f>
        <v>270</v>
      </c>
      <c r="F34" s="32">
        <f t="shared" ref="F34:F55" si="8">E34/1000</f>
        <v>0.27</v>
      </c>
      <c r="G34" s="32">
        <f t="shared" ref="G34:G55" si="9">(1/4)*3.14*3^2</f>
        <v>7.065</v>
      </c>
      <c r="H34" s="46">
        <f t="shared" ref="H34:H55" si="10">E34/G34</f>
        <v>38.21656051</v>
      </c>
      <c r="I34" s="32">
        <f t="shared" ref="I34:I55" si="11">D5</f>
        <v>10</v>
      </c>
      <c r="J34" s="45">
        <v>0.2254</v>
      </c>
      <c r="K34" s="84">
        <v>-4.2804</v>
      </c>
      <c r="L34" s="10">
        <f t="shared" ref="L34:L55" si="12">J34/(I34*B34)</f>
        <v>0.02254</v>
      </c>
      <c r="M34" s="48">
        <f t="shared" ref="M34:M55" si="13">ABS((K34*H34)/(L34*C34))</f>
        <v>362.8708199</v>
      </c>
      <c r="N34" s="6">
        <v>0.9298</v>
      </c>
      <c r="P34" s="45">
        <v>1.0</v>
      </c>
      <c r="Q34" s="32">
        <v>20.0</v>
      </c>
      <c r="R34" s="45">
        <v>4.5</v>
      </c>
      <c r="S34" s="32">
        <f t="shared" ref="S34:S51" si="14">R34*60</f>
        <v>270</v>
      </c>
      <c r="T34" s="32">
        <f t="shared" ref="T34:T51" si="15">S34/1000</f>
        <v>0.27</v>
      </c>
      <c r="U34" s="32">
        <f t="shared" ref="U34:U51" si="16">(1/4)*3.14*3^2</f>
        <v>7.065</v>
      </c>
      <c r="V34" s="46">
        <f t="shared" ref="V34:V51" si="17">S34/U34</f>
        <v>38.21656051</v>
      </c>
      <c r="W34" s="32">
        <f t="shared" ref="W34:W51" si="18">R5</f>
        <v>15</v>
      </c>
      <c r="X34" s="45">
        <v>0.2546</v>
      </c>
      <c r="Y34" s="84">
        <v>-4.0367</v>
      </c>
      <c r="Z34" s="10">
        <f t="shared" ref="Z34:Z51" si="19">X34/(W34*P34)</f>
        <v>0.01697333333</v>
      </c>
      <c r="AA34" s="48">
        <f t="shared" ref="AA34:AA51" si="20">ABS((Y34*V34)/(Z34*Q34))</f>
        <v>454.444589</v>
      </c>
      <c r="AB34" s="6">
        <v>0.956</v>
      </c>
      <c r="AC34" s="5"/>
      <c r="AD34" s="45">
        <v>1.0</v>
      </c>
      <c r="AE34" s="32">
        <v>20.0</v>
      </c>
      <c r="AF34" s="45">
        <v>4.5</v>
      </c>
      <c r="AG34" s="32">
        <f t="shared" ref="AG34:AG47" si="21">AF34*60</f>
        <v>270</v>
      </c>
      <c r="AH34" s="32">
        <f t="shared" ref="AH34:AH47" si="22">AG34/1000</f>
        <v>0.27</v>
      </c>
      <c r="AI34" s="32">
        <f t="shared" ref="AI34:AI47" si="23">(1/4)*3.14*3^2</f>
        <v>7.065</v>
      </c>
      <c r="AJ34" s="46">
        <f t="shared" ref="AJ34:AJ47" si="24">AG34/AI34</f>
        <v>38.21656051</v>
      </c>
      <c r="AK34" s="32">
        <f t="shared" ref="AK34:AK47" si="25">AF5</f>
        <v>20</v>
      </c>
      <c r="AL34" s="45">
        <v>0.3165</v>
      </c>
      <c r="AM34" s="47">
        <v>-3.9244</v>
      </c>
      <c r="AN34" s="10">
        <f t="shared" ref="AN34:AN47" si="26">AL34/(AK34*AD34)</f>
        <v>0.015825</v>
      </c>
      <c r="AO34" s="48">
        <f t="shared" ref="AO34:AO47" si="27">ABS((AM34*AJ34)/(AN34*AE34))</f>
        <v>473.8612008</v>
      </c>
      <c r="AP34" s="6">
        <v>0.9566</v>
      </c>
      <c r="AQ34" s="5"/>
      <c r="AR34" s="5"/>
      <c r="AS34" s="5"/>
      <c r="AT34" s="5"/>
    </row>
    <row r="35">
      <c r="B35" s="45">
        <v>2.0</v>
      </c>
      <c r="C35" s="32">
        <v>20.0</v>
      </c>
      <c r="D35" s="45">
        <v>4.5</v>
      </c>
      <c r="E35" s="32">
        <f t="shared" si="7"/>
        <v>270</v>
      </c>
      <c r="F35" s="32">
        <f t="shared" si="8"/>
        <v>0.27</v>
      </c>
      <c r="G35" s="32">
        <f t="shared" si="9"/>
        <v>7.065</v>
      </c>
      <c r="H35" s="46">
        <f t="shared" si="10"/>
        <v>38.21656051</v>
      </c>
      <c r="I35" s="32">
        <f t="shared" si="11"/>
        <v>10</v>
      </c>
      <c r="J35" s="45">
        <v>0.2254</v>
      </c>
      <c r="K35" s="84">
        <v>-4.2804</v>
      </c>
      <c r="L35" s="10">
        <f t="shared" si="12"/>
        <v>0.01127</v>
      </c>
      <c r="M35" s="48">
        <f t="shared" si="13"/>
        <v>725.7416398</v>
      </c>
      <c r="N35" s="6">
        <v>0.9298</v>
      </c>
      <c r="P35" s="45">
        <v>2.0</v>
      </c>
      <c r="Q35" s="32">
        <v>20.0</v>
      </c>
      <c r="R35" s="45">
        <v>4.5</v>
      </c>
      <c r="S35" s="32">
        <f t="shared" si="14"/>
        <v>270</v>
      </c>
      <c r="T35" s="32">
        <f t="shared" si="15"/>
        <v>0.27</v>
      </c>
      <c r="U35" s="32">
        <f t="shared" si="16"/>
        <v>7.065</v>
      </c>
      <c r="V35" s="46">
        <f t="shared" si="17"/>
        <v>38.21656051</v>
      </c>
      <c r="W35" s="32">
        <f t="shared" si="18"/>
        <v>15</v>
      </c>
      <c r="X35" s="45">
        <v>0.2546</v>
      </c>
      <c r="Y35" s="84">
        <v>-4.0367</v>
      </c>
      <c r="Z35" s="10">
        <f t="shared" si="19"/>
        <v>0.008486666667</v>
      </c>
      <c r="AA35" s="48">
        <f t="shared" si="20"/>
        <v>908.889178</v>
      </c>
      <c r="AB35" s="6">
        <v>0.956</v>
      </c>
      <c r="AC35" s="5"/>
      <c r="AD35" s="45">
        <v>2.0</v>
      </c>
      <c r="AE35" s="32">
        <v>20.0</v>
      </c>
      <c r="AF35" s="45">
        <v>4.5</v>
      </c>
      <c r="AG35" s="32">
        <f t="shared" si="21"/>
        <v>270</v>
      </c>
      <c r="AH35" s="32">
        <f t="shared" si="22"/>
        <v>0.27</v>
      </c>
      <c r="AI35" s="32">
        <f t="shared" si="23"/>
        <v>7.065</v>
      </c>
      <c r="AJ35" s="46">
        <f t="shared" si="24"/>
        <v>38.21656051</v>
      </c>
      <c r="AK35" s="32">
        <f t="shared" si="25"/>
        <v>20</v>
      </c>
      <c r="AL35" s="45">
        <v>0.3165</v>
      </c>
      <c r="AM35" s="47">
        <v>-3.9244</v>
      </c>
      <c r="AN35" s="10">
        <f t="shared" si="26"/>
        <v>0.0079125</v>
      </c>
      <c r="AO35" s="48">
        <f t="shared" si="27"/>
        <v>947.7224017</v>
      </c>
      <c r="AP35" s="6">
        <v>0.9566</v>
      </c>
      <c r="AQ35" s="5"/>
      <c r="AR35" s="5"/>
      <c r="AS35" s="5"/>
      <c r="AT35" s="5"/>
    </row>
    <row r="36">
      <c r="B36" s="45">
        <v>3.0</v>
      </c>
      <c r="C36" s="32">
        <v>20.0</v>
      </c>
      <c r="D36" s="45">
        <v>4.5</v>
      </c>
      <c r="E36" s="32">
        <f t="shared" si="7"/>
        <v>270</v>
      </c>
      <c r="F36" s="32">
        <f t="shared" si="8"/>
        <v>0.27</v>
      </c>
      <c r="G36" s="32">
        <f t="shared" si="9"/>
        <v>7.065</v>
      </c>
      <c r="H36" s="46">
        <f t="shared" si="10"/>
        <v>38.21656051</v>
      </c>
      <c r="I36" s="32">
        <f t="shared" si="11"/>
        <v>10</v>
      </c>
      <c r="J36" s="45">
        <v>0.2254</v>
      </c>
      <c r="K36" s="84">
        <v>-4.2804</v>
      </c>
      <c r="L36" s="10">
        <f t="shared" si="12"/>
        <v>0.007513333333</v>
      </c>
      <c r="M36" s="48">
        <f t="shared" si="13"/>
        <v>1088.61246</v>
      </c>
      <c r="N36" s="6">
        <v>0.9298</v>
      </c>
      <c r="P36" s="45">
        <v>3.0</v>
      </c>
      <c r="Q36" s="32">
        <v>20.0</v>
      </c>
      <c r="R36" s="45">
        <v>4.5</v>
      </c>
      <c r="S36" s="32">
        <f t="shared" si="14"/>
        <v>270</v>
      </c>
      <c r="T36" s="32">
        <f t="shared" si="15"/>
        <v>0.27</v>
      </c>
      <c r="U36" s="32">
        <f t="shared" si="16"/>
        <v>7.065</v>
      </c>
      <c r="V36" s="46">
        <f t="shared" si="17"/>
        <v>38.21656051</v>
      </c>
      <c r="W36" s="32">
        <f t="shared" si="18"/>
        <v>15</v>
      </c>
      <c r="X36" s="45">
        <v>0.2546</v>
      </c>
      <c r="Y36" s="84">
        <v>-4.0367</v>
      </c>
      <c r="Z36" s="10">
        <f t="shared" si="19"/>
        <v>0.005657777778</v>
      </c>
      <c r="AA36" s="48">
        <f t="shared" si="20"/>
        <v>1363.333767</v>
      </c>
      <c r="AB36" s="6">
        <v>0.956</v>
      </c>
      <c r="AC36" s="5"/>
      <c r="AD36" s="45">
        <v>3.0</v>
      </c>
      <c r="AE36" s="32">
        <v>20.0</v>
      </c>
      <c r="AF36" s="45">
        <v>4.5</v>
      </c>
      <c r="AG36" s="32">
        <f t="shared" si="21"/>
        <v>270</v>
      </c>
      <c r="AH36" s="32">
        <f t="shared" si="22"/>
        <v>0.27</v>
      </c>
      <c r="AI36" s="32">
        <f t="shared" si="23"/>
        <v>7.065</v>
      </c>
      <c r="AJ36" s="46">
        <f t="shared" si="24"/>
        <v>38.21656051</v>
      </c>
      <c r="AK36" s="32">
        <f t="shared" si="25"/>
        <v>20</v>
      </c>
      <c r="AL36" s="45">
        <v>0.3165</v>
      </c>
      <c r="AM36" s="47">
        <v>-3.9244</v>
      </c>
      <c r="AN36" s="10">
        <f t="shared" si="26"/>
        <v>0.005275</v>
      </c>
      <c r="AO36" s="48">
        <f t="shared" si="27"/>
        <v>1421.583602</v>
      </c>
      <c r="AP36" s="6">
        <v>0.9566</v>
      </c>
      <c r="AQ36" s="5"/>
      <c r="AR36" s="5"/>
      <c r="AS36" s="5"/>
      <c r="AT36" s="5"/>
    </row>
    <row r="37">
      <c r="B37" s="45">
        <v>4.0</v>
      </c>
      <c r="C37" s="32">
        <v>20.0</v>
      </c>
      <c r="D37" s="45">
        <v>4.5</v>
      </c>
      <c r="E37" s="32">
        <f t="shared" si="7"/>
        <v>270</v>
      </c>
      <c r="F37" s="32">
        <f t="shared" si="8"/>
        <v>0.27</v>
      </c>
      <c r="G37" s="32">
        <f t="shared" si="9"/>
        <v>7.065</v>
      </c>
      <c r="H37" s="46">
        <f t="shared" si="10"/>
        <v>38.21656051</v>
      </c>
      <c r="I37" s="32">
        <f t="shared" si="11"/>
        <v>10</v>
      </c>
      <c r="J37" s="45">
        <v>0.2254</v>
      </c>
      <c r="K37" s="84">
        <v>-4.2804</v>
      </c>
      <c r="L37" s="10">
        <f t="shared" si="12"/>
        <v>0.005635</v>
      </c>
      <c r="M37" s="48">
        <f t="shared" si="13"/>
        <v>1451.48328</v>
      </c>
      <c r="N37" s="6">
        <v>0.9298</v>
      </c>
      <c r="P37" s="45">
        <v>4.0</v>
      </c>
      <c r="Q37" s="32">
        <v>20.0</v>
      </c>
      <c r="R37" s="45">
        <v>4.5</v>
      </c>
      <c r="S37" s="32">
        <f t="shared" si="14"/>
        <v>270</v>
      </c>
      <c r="T37" s="32">
        <f t="shared" si="15"/>
        <v>0.27</v>
      </c>
      <c r="U37" s="32">
        <f t="shared" si="16"/>
        <v>7.065</v>
      </c>
      <c r="V37" s="46">
        <f t="shared" si="17"/>
        <v>38.21656051</v>
      </c>
      <c r="W37" s="32">
        <f t="shared" si="18"/>
        <v>15</v>
      </c>
      <c r="X37" s="45">
        <v>0.2546</v>
      </c>
      <c r="Y37" s="84">
        <v>-4.0367</v>
      </c>
      <c r="Z37" s="10">
        <f t="shared" si="19"/>
        <v>0.004243333333</v>
      </c>
      <c r="AA37" s="48">
        <f t="shared" si="20"/>
        <v>1817.778356</v>
      </c>
      <c r="AB37" s="6">
        <v>0.956</v>
      </c>
      <c r="AC37" s="5"/>
      <c r="AD37" s="45">
        <v>4.0</v>
      </c>
      <c r="AE37" s="32">
        <v>20.0</v>
      </c>
      <c r="AF37" s="45">
        <v>4.5</v>
      </c>
      <c r="AG37" s="32">
        <f t="shared" si="21"/>
        <v>270</v>
      </c>
      <c r="AH37" s="32">
        <f t="shared" si="22"/>
        <v>0.27</v>
      </c>
      <c r="AI37" s="32">
        <f t="shared" si="23"/>
        <v>7.065</v>
      </c>
      <c r="AJ37" s="46">
        <f t="shared" si="24"/>
        <v>38.21656051</v>
      </c>
      <c r="AK37" s="32">
        <f t="shared" si="25"/>
        <v>20</v>
      </c>
      <c r="AL37" s="45">
        <v>0.3165</v>
      </c>
      <c r="AM37" s="47">
        <v>-3.9244</v>
      </c>
      <c r="AN37" s="10">
        <f t="shared" si="26"/>
        <v>0.00395625</v>
      </c>
      <c r="AO37" s="48">
        <f t="shared" si="27"/>
        <v>1895.444803</v>
      </c>
      <c r="AP37" s="6">
        <v>0.9566</v>
      </c>
      <c r="AQ37" s="5"/>
      <c r="AR37" s="5"/>
      <c r="AS37" s="5"/>
      <c r="AT37" s="5"/>
    </row>
    <row r="38">
      <c r="B38" s="45">
        <v>5.0</v>
      </c>
      <c r="C38" s="32">
        <v>20.0</v>
      </c>
      <c r="D38" s="45">
        <v>4.5</v>
      </c>
      <c r="E38" s="32">
        <f t="shared" si="7"/>
        <v>270</v>
      </c>
      <c r="F38" s="32">
        <f t="shared" si="8"/>
        <v>0.27</v>
      </c>
      <c r="G38" s="32">
        <f t="shared" si="9"/>
        <v>7.065</v>
      </c>
      <c r="H38" s="46">
        <f t="shared" si="10"/>
        <v>38.21656051</v>
      </c>
      <c r="I38" s="32">
        <f t="shared" si="11"/>
        <v>10</v>
      </c>
      <c r="J38" s="45">
        <v>0.2254</v>
      </c>
      <c r="K38" s="84">
        <v>-4.2804</v>
      </c>
      <c r="L38" s="10">
        <f t="shared" si="12"/>
        <v>0.004508</v>
      </c>
      <c r="M38" s="48">
        <f t="shared" si="13"/>
        <v>1814.354099</v>
      </c>
      <c r="N38" s="6">
        <v>0.9298</v>
      </c>
      <c r="P38" s="45">
        <v>5.0</v>
      </c>
      <c r="Q38" s="32">
        <v>20.0</v>
      </c>
      <c r="R38" s="45">
        <v>4.5</v>
      </c>
      <c r="S38" s="32">
        <f t="shared" si="14"/>
        <v>270</v>
      </c>
      <c r="T38" s="32">
        <f t="shared" si="15"/>
        <v>0.27</v>
      </c>
      <c r="U38" s="32">
        <f t="shared" si="16"/>
        <v>7.065</v>
      </c>
      <c r="V38" s="46">
        <f t="shared" si="17"/>
        <v>38.21656051</v>
      </c>
      <c r="W38" s="32">
        <f t="shared" si="18"/>
        <v>15</v>
      </c>
      <c r="X38" s="45">
        <v>0.2546</v>
      </c>
      <c r="Y38" s="84">
        <v>-4.0367</v>
      </c>
      <c r="Z38" s="10">
        <f t="shared" si="19"/>
        <v>0.003394666667</v>
      </c>
      <c r="AA38" s="48">
        <f t="shared" si="20"/>
        <v>2272.222945</v>
      </c>
      <c r="AB38" s="6">
        <v>0.956</v>
      </c>
      <c r="AC38" s="5"/>
      <c r="AD38" s="45">
        <v>5.0</v>
      </c>
      <c r="AE38" s="32">
        <v>20.0</v>
      </c>
      <c r="AF38" s="45">
        <v>4.5</v>
      </c>
      <c r="AG38" s="32">
        <f t="shared" si="21"/>
        <v>270</v>
      </c>
      <c r="AH38" s="32">
        <f t="shared" si="22"/>
        <v>0.27</v>
      </c>
      <c r="AI38" s="32">
        <f t="shared" si="23"/>
        <v>7.065</v>
      </c>
      <c r="AJ38" s="46">
        <f t="shared" si="24"/>
        <v>38.21656051</v>
      </c>
      <c r="AK38" s="32">
        <f t="shared" si="25"/>
        <v>20</v>
      </c>
      <c r="AL38" s="45">
        <v>0.3165</v>
      </c>
      <c r="AM38" s="47">
        <v>-3.9244</v>
      </c>
      <c r="AN38" s="10">
        <f t="shared" si="26"/>
        <v>0.003165</v>
      </c>
      <c r="AO38" s="48">
        <f t="shared" si="27"/>
        <v>2369.306004</v>
      </c>
      <c r="AP38" s="6">
        <v>0.9566</v>
      </c>
      <c r="AQ38" s="5"/>
      <c r="AR38" s="5"/>
      <c r="AS38" s="5"/>
      <c r="AT38" s="5"/>
    </row>
    <row r="39">
      <c r="B39" s="45">
        <v>6.0</v>
      </c>
      <c r="C39" s="32">
        <v>20.0</v>
      </c>
      <c r="D39" s="45">
        <v>4.5</v>
      </c>
      <c r="E39" s="32">
        <f t="shared" si="7"/>
        <v>270</v>
      </c>
      <c r="F39" s="32">
        <f t="shared" si="8"/>
        <v>0.27</v>
      </c>
      <c r="G39" s="32">
        <f t="shared" si="9"/>
        <v>7.065</v>
      </c>
      <c r="H39" s="46">
        <f t="shared" si="10"/>
        <v>38.21656051</v>
      </c>
      <c r="I39" s="32">
        <f t="shared" si="11"/>
        <v>10</v>
      </c>
      <c r="J39" s="45">
        <v>0.2254</v>
      </c>
      <c r="K39" s="84">
        <v>-4.2804</v>
      </c>
      <c r="L39" s="10">
        <f t="shared" si="12"/>
        <v>0.003756666667</v>
      </c>
      <c r="M39" s="48">
        <f t="shared" si="13"/>
        <v>2177.224919</v>
      </c>
      <c r="N39" s="6">
        <v>0.9298</v>
      </c>
      <c r="P39" s="45">
        <v>6.0</v>
      </c>
      <c r="Q39" s="32">
        <v>20.0</v>
      </c>
      <c r="R39" s="45">
        <v>4.5</v>
      </c>
      <c r="S39" s="32">
        <f t="shared" si="14"/>
        <v>270</v>
      </c>
      <c r="T39" s="32">
        <f t="shared" si="15"/>
        <v>0.27</v>
      </c>
      <c r="U39" s="32">
        <f t="shared" si="16"/>
        <v>7.065</v>
      </c>
      <c r="V39" s="46">
        <f t="shared" si="17"/>
        <v>38.21656051</v>
      </c>
      <c r="W39" s="32">
        <f t="shared" si="18"/>
        <v>15</v>
      </c>
      <c r="X39" s="45">
        <v>0.2546</v>
      </c>
      <c r="Y39" s="84">
        <v>-4.0367</v>
      </c>
      <c r="Z39" s="10">
        <f t="shared" si="19"/>
        <v>0.002828888889</v>
      </c>
      <c r="AA39" s="48">
        <f t="shared" si="20"/>
        <v>2726.667534</v>
      </c>
      <c r="AB39" s="6">
        <v>0.956</v>
      </c>
      <c r="AC39" s="5"/>
      <c r="AD39" s="45">
        <v>6.0</v>
      </c>
      <c r="AE39" s="32">
        <v>20.0</v>
      </c>
      <c r="AF39" s="45">
        <v>4.5</v>
      </c>
      <c r="AG39" s="32">
        <f t="shared" si="21"/>
        <v>270</v>
      </c>
      <c r="AH39" s="32">
        <f t="shared" si="22"/>
        <v>0.27</v>
      </c>
      <c r="AI39" s="32">
        <f t="shared" si="23"/>
        <v>7.065</v>
      </c>
      <c r="AJ39" s="46">
        <f t="shared" si="24"/>
        <v>38.21656051</v>
      </c>
      <c r="AK39" s="32">
        <f t="shared" si="25"/>
        <v>20</v>
      </c>
      <c r="AL39" s="45">
        <v>0.3165</v>
      </c>
      <c r="AM39" s="47">
        <v>-3.9244</v>
      </c>
      <c r="AN39" s="10">
        <f t="shared" si="26"/>
        <v>0.0026375</v>
      </c>
      <c r="AO39" s="48">
        <f t="shared" si="27"/>
        <v>2843.167205</v>
      </c>
      <c r="AP39" s="6">
        <v>0.9566</v>
      </c>
      <c r="AQ39" s="5"/>
      <c r="AR39" s="5"/>
      <c r="AS39" s="5"/>
      <c r="AT39" s="5"/>
    </row>
    <row r="40">
      <c r="B40" s="45">
        <v>7.0</v>
      </c>
      <c r="C40" s="32">
        <v>20.0</v>
      </c>
      <c r="D40" s="45">
        <v>4.5</v>
      </c>
      <c r="E40" s="32">
        <f t="shared" si="7"/>
        <v>270</v>
      </c>
      <c r="F40" s="32">
        <f t="shared" si="8"/>
        <v>0.27</v>
      </c>
      <c r="G40" s="32">
        <f t="shared" si="9"/>
        <v>7.065</v>
      </c>
      <c r="H40" s="46">
        <f t="shared" si="10"/>
        <v>38.21656051</v>
      </c>
      <c r="I40" s="32">
        <f t="shared" si="11"/>
        <v>10</v>
      </c>
      <c r="J40" s="45">
        <v>0.2254</v>
      </c>
      <c r="K40" s="84">
        <v>-4.2804</v>
      </c>
      <c r="L40" s="10">
        <f t="shared" si="12"/>
        <v>0.00322</v>
      </c>
      <c r="M40" s="48">
        <f t="shared" si="13"/>
        <v>2540.095739</v>
      </c>
      <c r="N40" s="6">
        <v>0.9298</v>
      </c>
      <c r="P40" s="45">
        <v>7.0</v>
      </c>
      <c r="Q40" s="32">
        <v>20.0</v>
      </c>
      <c r="R40" s="45">
        <v>4.5</v>
      </c>
      <c r="S40" s="32">
        <f t="shared" si="14"/>
        <v>270</v>
      </c>
      <c r="T40" s="32">
        <f t="shared" si="15"/>
        <v>0.27</v>
      </c>
      <c r="U40" s="32">
        <f t="shared" si="16"/>
        <v>7.065</v>
      </c>
      <c r="V40" s="46">
        <f t="shared" si="17"/>
        <v>38.21656051</v>
      </c>
      <c r="W40" s="32">
        <f t="shared" si="18"/>
        <v>15</v>
      </c>
      <c r="X40" s="45">
        <v>0.2546</v>
      </c>
      <c r="Y40" s="84">
        <v>-4.0367</v>
      </c>
      <c r="Z40" s="10">
        <f t="shared" si="19"/>
        <v>0.002424761905</v>
      </c>
      <c r="AA40" s="48">
        <f t="shared" si="20"/>
        <v>3181.112123</v>
      </c>
      <c r="AB40" s="6">
        <v>0.956</v>
      </c>
      <c r="AC40" s="5"/>
      <c r="AD40" s="45">
        <v>7.0</v>
      </c>
      <c r="AE40" s="32">
        <v>20.0</v>
      </c>
      <c r="AF40" s="45">
        <v>4.5</v>
      </c>
      <c r="AG40" s="32">
        <f t="shared" si="21"/>
        <v>270</v>
      </c>
      <c r="AH40" s="32">
        <f t="shared" si="22"/>
        <v>0.27</v>
      </c>
      <c r="AI40" s="32">
        <f t="shared" si="23"/>
        <v>7.065</v>
      </c>
      <c r="AJ40" s="46">
        <f t="shared" si="24"/>
        <v>38.21656051</v>
      </c>
      <c r="AK40" s="32">
        <f t="shared" si="25"/>
        <v>20</v>
      </c>
      <c r="AL40" s="45">
        <v>0.3165</v>
      </c>
      <c r="AM40" s="47">
        <v>-3.9244</v>
      </c>
      <c r="AN40" s="10">
        <f t="shared" si="26"/>
        <v>0.002260714286</v>
      </c>
      <c r="AO40" s="48">
        <f t="shared" si="27"/>
        <v>3317.028406</v>
      </c>
      <c r="AP40" s="6">
        <v>0.9566</v>
      </c>
      <c r="AQ40" s="5"/>
      <c r="AR40" s="5"/>
      <c r="AS40" s="5"/>
      <c r="AT40" s="5"/>
    </row>
    <row r="41">
      <c r="B41" s="45">
        <v>8.0</v>
      </c>
      <c r="C41" s="32">
        <v>20.0</v>
      </c>
      <c r="D41" s="45">
        <v>4.5</v>
      </c>
      <c r="E41" s="32">
        <f t="shared" si="7"/>
        <v>270</v>
      </c>
      <c r="F41" s="32">
        <f t="shared" si="8"/>
        <v>0.27</v>
      </c>
      <c r="G41" s="32">
        <f t="shared" si="9"/>
        <v>7.065</v>
      </c>
      <c r="H41" s="46">
        <f t="shared" si="10"/>
        <v>38.21656051</v>
      </c>
      <c r="I41" s="32">
        <f t="shared" si="11"/>
        <v>10</v>
      </c>
      <c r="J41" s="45">
        <v>0.2254</v>
      </c>
      <c r="K41" s="84">
        <v>-4.2804</v>
      </c>
      <c r="L41" s="10">
        <f t="shared" si="12"/>
        <v>0.0028175</v>
      </c>
      <c r="M41" s="48">
        <f t="shared" si="13"/>
        <v>2902.966559</v>
      </c>
      <c r="N41" s="6">
        <v>0.9298</v>
      </c>
      <c r="P41" s="45">
        <v>8.0</v>
      </c>
      <c r="Q41" s="32">
        <v>20.0</v>
      </c>
      <c r="R41" s="45">
        <v>4.5</v>
      </c>
      <c r="S41" s="32">
        <f t="shared" si="14"/>
        <v>270</v>
      </c>
      <c r="T41" s="32">
        <f t="shared" si="15"/>
        <v>0.27</v>
      </c>
      <c r="U41" s="32">
        <f t="shared" si="16"/>
        <v>7.065</v>
      </c>
      <c r="V41" s="46">
        <f t="shared" si="17"/>
        <v>38.21656051</v>
      </c>
      <c r="W41" s="32">
        <f t="shared" si="18"/>
        <v>15</v>
      </c>
      <c r="X41" s="45">
        <v>0.2546</v>
      </c>
      <c r="Y41" s="84">
        <v>-4.0367</v>
      </c>
      <c r="Z41" s="10">
        <f t="shared" si="19"/>
        <v>0.002121666667</v>
      </c>
      <c r="AA41" s="48">
        <f t="shared" si="20"/>
        <v>3635.556712</v>
      </c>
      <c r="AB41" s="6">
        <v>0.956</v>
      </c>
      <c r="AC41" s="5"/>
      <c r="AD41" s="45">
        <v>8.0</v>
      </c>
      <c r="AE41" s="32">
        <v>20.0</v>
      </c>
      <c r="AF41" s="45">
        <v>4.5</v>
      </c>
      <c r="AG41" s="32">
        <f t="shared" si="21"/>
        <v>270</v>
      </c>
      <c r="AH41" s="32">
        <f t="shared" si="22"/>
        <v>0.27</v>
      </c>
      <c r="AI41" s="32">
        <f t="shared" si="23"/>
        <v>7.065</v>
      </c>
      <c r="AJ41" s="46">
        <f t="shared" si="24"/>
        <v>38.21656051</v>
      </c>
      <c r="AK41" s="32">
        <f t="shared" si="25"/>
        <v>20</v>
      </c>
      <c r="AL41" s="45">
        <v>0.3165</v>
      </c>
      <c r="AM41" s="47">
        <v>-3.9244</v>
      </c>
      <c r="AN41" s="10">
        <f t="shared" si="26"/>
        <v>0.001978125</v>
      </c>
      <c r="AO41" s="48">
        <f t="shared" si="27"/>
        <v>3790.889607</v>
      </c>
      <c r="AP41" s="6">
        <v>0.9566</v>
      </c>
      <c r="AQ41" s="5"/>
      <c r="AR41" s="5"/>
      <c r="AS41" s="5"/>
      <c r="AT41" s="5"/>
    </row>
    <row r="42">
      <c r="B42" s="45">
        <v>9.0</v>
      </c>
      <c r="C42" s="32">
        <v>20.0</v>
      </c>
      <c r="D42" s="45">
        <v>4.5</v>
      </c>
      <c r="E42" s="32">
        <f t="shared" si="7"/>
        <v>270</v>
      </c>
      <c r="F42" s="32">
        <f t="shared" si="8"/>
        <v>0.27</v>
      </c>
      <c r="G42" s="32">
        <f t="shared" si="9"/>
        <v>7.065</v>
      </c>
      <c r="H42" s="46">
        <f t="shared" si="10"/>
        <v>38.21656051</v>
      </c>
      <c r="I42" s="32">
        <f t="shared" si="11"/>
        <v>10</v>
      </c>
      <c r="J42" s="45">
        <v>0.2254</v>
      </c>
      <c r="K42" s="84">
        <v>-4.2804</v>
      </c>
      <c r="L42" s="10">
        <f t="shared" si="12"/>
        <v>0.002504444444</v>
      </c>
      <c r="M42" s="48">
        <f t="shared" si="13"/>
        <v>3265.837379</v>
      </c>
      <c r="N42" s="6">
        <v>0.9298</v>
      </c>
      <c r="P42" s="45">
        <v>9.0</v>
      </c>
      <c r="Q42" s="32">
        <v>20.0</v>
      </c>
      <c r="R42" s="45">
        <v>4.5</v>
      </c>
      <c r="S42" s="32">
        <f t="shared" si="14"/>
        <v>270</v>
      </c>
      <c r="T42" s="32">
        <f t="shared" si="15"/>
        <v>0.27</v>
      </c>
      <c r="U42" s="32">
        <f t="shared" si="16"/>
        <v>7.065</v>
      </c>
      <c r="V42" s="46">
        <f t="shared" si="17"/>
        <v>38.21656051</v>
      </c>
      <c r="W42" s="32">
        <f t="shared" si="18"/>
        <v>15</v>
      </c>
      <c r="X42" s="45">
        <v>0.2546</v>
      </c>
      <c r="Y42" s="84">
        <v>-4.0367</v>
      </c>
      <c r="Z42" s="10">
        <f t="shared" si="19"/>
        <v>0.001885925926</v>
      </c>
      <c r="AA42" s="48">
        <f t="shared" si="20"/>
        <v>4090.001301</v>
      </c>
      <c r="AB42" s="6">
        <v>0.956</v>
      </c>
      <c r="AC42" s="5"/>
      <c r="AD42" s="45">
        <v>9.0</v>
      </c>
      <c r="AE42" s="32">
        <v>20.0</v>
      </c>
      <c r="AF42" s="45">
        <v>4.5</v>
      </c>
      <c r="AG42" s="32">
        <f t="shared" si="21"/>
        <v>270</v>
      </c>
      <c r="AH42" s="32">
        <f t="shared" si="22"/>
        <v>0.27</v>
      </c>
      <c r="AI42" s="32">
        <f t="shared" si="23"/>
        <v>7.065</v>
      </c>
      <c r="AJ42" s="46">
        <f t="shared" si="24"/>
        <v>38.21656051</v>
      </c>
      <c r="AK42" s="32">
        <f t="shared" si="25"/>
        <v>20</v>
      </c>
      <c r="AL42" s="45">
        <v>0.3165</v>
      </c>
      <c r="AM42" s="47">
        <v>-3.9244</v>
      </c>
      <c r="AN42" s="10">
        <f t="shared" si="26"/>
        <v>0.001758333333</v>
      </c>
      <c r="AO42" s="48">
        <f t="shared" si="27"/>
        <v>4264.750807</v>
      </c>
      <c r="AP42" s="6">
        <v>0.9566</v>
      </c>
      <c r="AQ42" s="5"/>
      <c r="AR42" s="5"/>
      <c r="AS42" s="5"/>
      <c r="AT42" s="5"/>
    </row>
    <row r="43">
      <c r="B43" s="45">
        <v>10.0</v>
      </c>
      <c r="C43" s="32">
        <v>20.0</v>
      </c>
      <c r="D43" s="45">
        <v>4.5</v>
      </c>
      <c r="E43" s="32">
        <f t="shared" si="7"/>
        <v>270</v>
      </c>
      <c r="F43" s="32">
        <f t="shared" si="8"/>
        <v>0.27</v>
      </c>
      <c r="G43" s="32">
        <f t="shared" si="9"/>
        <v>7.065</v>
      </c>
      <c r="H43" s="46">
        <f t="shared" si="10"/>
        <v>38.21656051</v>
      </c>
      <c r="I43" s="32">
        <f t="shared" si="11"/>
        <v>10</v>
      </c>
      <c r="J43" s="45">
        <v>0.2254</v>
      </c>
      <c r="K43" s="84">
        <v>-4.2804</v>
      </c>
      <c r="L43" s="10">
        <f t="shared" si="12"/>
        <v>0.002254</v>
      </c>
      <c r="M43" s="48">
        <f t="shared" si="13"/>
        <v>3628.708199</v>
      </c>
      <c r="N43" s="6">
        <v>0.9298</v>
      </c>
      <c r="P43" s="45">
        <v>10.0</v>
      </c>
      <c r="Q43" s="32">
        <v>20.0</v>
      </c>
      <c r="R43" s="45">
        <v>4.5</v>
      </c>
      <c r="S43" s="32">
        <f t="shared" si="14"/>
        <v>270</v>
      </c>
      <c r="T43" s="32">
        <f t="shared" si="15"/>
        <v>0.27</v>
      </c>
      <c r="U43" s="32">
        <f t="shared" si="16"/>
        <v>7.065</v>
      </c>
      <c r="V43" s="46">
        <f t="shared" si="17"/>
        <v>38.21656051</v>
      </c>
      <c r="W43" s="32">
        <f t="shared" si="18"/>
        <v>15</v>
      </c>
      <c r="X43" s="45">
        <v>0.2546</v>
      </c>
      <c r="Y43" s="84">
        <v>-4.0367</v>
      </c>
      <c r="Z43" s="10">
        <f t="shared" si="19"/>
        <v>0.001697333333</v>
      </c>
      <c r="AA43" s="48">
        <f t="shared" si="20"/>
        <v>4544.44589</v>
      </c>
      <c r="AB43" s="6">
        <v>0.956</v>
      </c>
      <c r="AC43" s="5"/>
      <c r="AD43" s="45">
        <v>10.0</v>
      </c>
      <c r="AE43" s="32">
        <v>20.0</v>
      </c>
      <c r="AF43" s="45">
        <v>4.5</v>
      </c>
      <c r="AG43" s="32">
        <f t="shared" si="21"/>
        <v>270</v>
      </c>
      <c r="AH43" s="32">
        <f t="shared" si="22"/>
        <v>0.27</v>
      </c>
      <c r="AI43" s="32">
        <f t="shared" si="23"/>
        <v>7.065</v>
      </c>
      <c r="AJ43" s="46">
        <f t="shared" si="24"/>
        <v>38.21656051</v>
      </c>
      <c r="AK43" s="32">
        <f t="shared" si="25"/>
        <v>20</v>
      </c>
      <c r="AL43" s="45">
        <v>0.3165</v>
      </c>
      <c r="AM43" s="47">
        <v>-3.9244</v>
      </c>
      <c r="AN43" s="10">
        <f t="shared" si="26"/>
        <v>0.0015825</v>
      </c>
      <c r="AO43" s="48">
        <f t="shared" si="27"/>
        <v>4738.612008</v>
      </c>
      <c r="AP43" s="6">
        <v>0.9566</v>
      </c>
      <c r="AQ43" s="5"/>
      <c r="AR43" s="5"/>
      <c r="AS43" s="5"/>
      <c r="AT43" s="5"/>
    </row>
    <row r="44">
      <c r="B44" s="45">
        <v>11.0</v>
      </c>
      <c r="C44" s="32">
        <v>20.0</v>
      </c>
      <c r="D44" s="45">
        <v>4.5</v>
      </c>
      <c r="E44" s="32">
        <f t="shared" si="7"/>
        <v>270</v>
      </c>
      <c r="F44" s="32">
        <f t="shared" si="8"/>
        <v>0.27</v>
      </c>
      <c r="G44" s="32">
        <f t="shared" si="9"/>
        <v>7.065</v>
      </c>
      <c r="H44" s="46">
        <f t="shared" si="10"/>
        <v>38.21656051</v>
      </c>
      <c r="I44" s="32">
        <f t="shared" si="11"/>
        <v>10</v>
      </c>
      <c r="J44" s="45">
        <v>0.2254</v>
      </c>
      <c r="K44" s="84">
        <v>-4.2804</v>
      </c>
      <c r="L44" s="10">
        <f t="shared" si="12"/>
        <v>0.002049090909</v>
      </c>
      <c r="M44" s="48">
        <f t="shared" si="13"/>
        <v>3991.579019</v>
      </c>
      <c r="N44" s="6">
        <v>0.9298</v>
      </c>
      <c r="P44" s="45">
        <v>11.0</v>
      </c>
      <c r="Q44" s="32">
        <v>20.0</v>
      </c>
      <c r="R44" s="45">
        <v>4.5</v>
      </c>
      <c r="S44" s="32">
        <f t="shared" si="14"/>
        <v>270</v>
      </c>
      <c r="T44" s="32">
        <f t="shared" si="15"/>
        <v>0.27</v>
      </c>
      <c r="U44" s="32">
        <f t="shared" si="16"/>
        <v>7.065</v>
      </c>
      <c r="V44" s="46">
        <f t="shared" si="17"/>
        <v>38.21656051</v>
      </c>
      <c r="W44" s="32">
        <f t="shared" si="18"/>
        <v>15</v>
      </c>
      <c r="X44" s="45">
        <v>0.2546</v>
      </c>
      <c r="Y44" s="84">
        <v>-4.0367</v>
      </c>
      <c r="Z44" s="10">
        <f t="shared" si="19"/>
        <v>0.001543030303</v>
      </c>
      <c r="AA44" s="48">
        <f t="shared" si="20"/>
        <v>4998.890479</v>
      </c>
      <c r="AB44" s="6">
        <v>0.956</v>
      </c>
      <c r="AC44" s="5"/>
      <c r="AD44" s="45">
        <v>11.0</v>
      </c>
      <c r="AE44" s="32">
        <v>20.0</v>
      </c>
      <c r="AF44" s="45">
        <v>4.5</v>
      </c>
      <c r="AG44" s="32">
        <f t="shared" si="21"/>
        <v>270</v>
      </c>
      <c r="AH44" s="32">
        <f t="shared" si="22"/>
        <v>0.27</v>
      </c>
      <c r="AI44" s="32">
        <f t="shared" si="23"/>
        <v>7.065</v>
      </c>
      <c r="AJ44" s="46">
        <f t="shared" si="24"/>
        <v>38.21656051</v>
      </c>
      <c r="AK44" s="32">
        <f t="shared" si="25"/>
        <v>20</v>
      </c>
      <c r="AL44" s="45">
        <v>0.3165</v>
      </c>
      <c r="AM44" s="47">
        <v>-3.9244</v>
      </c>
      <c r="AN44" s="10">
        <f t="shared" si="26"/>
        <v>0.001438636364</v>
      </c>
      <c r="AO44" s="48">
        <f t="shared" si="27"/>
        <v>5212.473209</v>
      </c>
      <c r="AP44" s="6">
        <v>0.9566</v>
      </c>
      <c r="AQ44" s="5"/>
      <c r="AR44" s="5"/>
      <c r="AS44" s="5"/>
      <c r="AT44" s="5"/>
    </row>
    <row r="45">
      <c r="B45" s="45">
        <v>12.0</v>
      </c>
      <c r="C45" s="32">
        <v>20.0</v>
      </c>
      <c r="D45" s="45">
        <v>4.5</v>
      </c>
      <c r="E45" s="32">
        <f t="shared" si="7"/>
        <v>270</v>
      </c>
      <c r="F45" s="32">
        <f t="shared" si="8"/>
        <v>0.27</v>
      </c>
      <c r="G45" s="32">
        <f t="shared" si="9"/>
        <v>7.065</v>
      </c>
      <c r="H45" s="46">
        <f t="shared" si="10"/>
        <v>38.21656051</v>
      </c>
      <c r="I45" s="32">
        <f t="shared" si="11"/>
        <v>10</v>
      </c>
      <c r="J45" s="45">
        <v>0.2254</v>
      </c>
      <c r="K45" s="84">
        <v>-4.2804</v>
      </c>
      <c r="L45" s="10">
        <f t="shared" si="12"/>
        <v>0.001878333333</v>
      </c>
      <c r="M45" s="48">
        <f t="shared" si="13"/>
        <v>4354.449839</v>
      </c>
      <c r="N45" s="6">
        <v>0.9298</v>
      </c>
      <c r="P45" s="45">
        <v>12.0</v>
      </c>
      <c r="Q45" s="32">
        <v>20.0</v>
      </c>
      <c r="R45" s="45">
        <v>4.5</v>
      </c>
      <c r="S45" s="32">
        <f t="shared" si="14"/>
        <v>270</v>
      </c>
      <c r="T45" s="32">
        <f t="shared" si="15"/>
        <v>0.27</v>
      </c>
      <c r="U45" s="32">
        <f t="shared" si="16"/>
        <v>7.065</v>
      </c>
      <c r="V45" s="46">
        <f t="shared" si="17"/>
        <v>38.21656051</v>
      </c>
      <c r="W45" s="32">
        <f t="shared" si="18"/>
        <v>15</v>
      </c>
      <c r="X45" s="45">
        <v>0.2546</v>
      </c>
      <c r="Y45" s="84">
        <v>-4.0367</v>
      </c>
      <c r="Z45" s="10">
        <f t="shared" si="19"/>
        <v>0.001414444444</v>
      </c>
      <c r="AA45" s="48">
        <f t="shared" si="20"/>
        <v>5453.335068</v>
      </c>
      <c r="AB45" s="6">
        <v>0.956</v>
      </c>
      <c r="AC45" s="5"/>
      <c r="AD45" s="45">
        <v>12.0</v>
      </c>
      <c r="AE45" s="32">
        <v>20.0</v>
      </c>
      <c r="AF45" s="45">
        <v>4.5</v>
      </c>
      <c r="AG45" s="32">
        <f t="shared" si="21"/>
        <v>270</v>
      </c>
      <c r="AH45" s="32">
        <f t="shared" si="22"/>
        <v>0.27</v>
      </c>
      <c r="AI45" s="32">
        <f t="shared" si="23"/>
        <v>7.065</v>
      </c>
      <c r="AJ45" s="46">
        <f t="shared" si="24"/>
        <v>38.21656051</v>
      </c>
      <c r="AK45" s="32">
        <f t="shared" si="25"/>
        <v>20</v>
      </c>
      <c r="AL45" s="45">
        <v>0.3165</v>
      </c>
      <c r="AM45" s="47">
        <v>-3.9244</v>
      </c>
      <c r="AN45" s="10">
        <f t="shared" si="26"/>
        <v>0.00131875</v>
      </c>
      <c r="AO45" s="48">
        <f t="shared" si="27"/>
        <v>5686.33441</v>
      </c>
      <c r="AP45" s="6">
        <v>0.9566</v>
      </c>
      <c r="AQ45" s="5"/>
      <c r="AR45" s="5"/>
      <c r="AS45" s="5"/>
      <c r="AT45" s="5"/>
    </row>
    <row r="46">
      <c r="B46" s="45">
        <v>13.0</v>
      </c>
      <c r="C46" s="32">
        <v>20.0</v>
      </c>
      <c r="D46" s="45">
        <v>4.5</v>
      </c>
      <c r="E46" s="32">
        <f t="shared" si="7"/>
        <v>270</v>
      </c>
      <c r="F46" s="32">
        <f t="shared" si="8"/>
        <v>0.27</v>
      </c>
      <c r="G46" s="32">
        <f t="shared" si="9"/>
        <v>7.065</v>
      </c>
      <c r="H46" s="46">
        <f t="shared" si="10"/>
        <v>38.21656051</v>
      </c>
      <c r="I46" s="32">
        <f t="shared" si="11"/>
        <v>10</v>
      </c>
      <c r="J46" s="45">
        <v>0.2254</v>
      </c>
      <c r="K46" s="84">
        <v>-4.2804</v>
      </c>
      <c r="L46" s="10">
        <f t="shared" si="12"/>
        <v>0.001733846154</v>
      </c>
      <c r="M46" s="48">
        <f t="shared" si="13"/>
        <v>4717.320659</v>
      </c>
      <c r="N46" s="6">
        <v>0.9298</v>
      </c>
      <c r="P46" s="45">
        <v>13.0</v>
      </c>
      <c r="Q46" s="32">
        <v>20.0</v>
      </c>
      <c r="R46" s="45">
        <v>4.5</v>
      </c>
      <c r="S46" s="32">
        <f t="shared" si="14"/>
        <v>270</v>
      </c>
      <c r="T46" s="32">
        <f t="shared" si="15"/>
        <v>0.27</v>
      </c>
      <c r="U46" s="32">
        <f t="shared" si="16"/>
        <v>7.065</v>
      </c>
      <c r="V46" s="46">
        <f t="shared" si="17"/>
        <v>38.21656051</v>
      </c>
      <c r="W46" s="32">
        <f t="shared" si="18"/>
        <v>15</v>
      </c>
      <c r="X46" s="45">
        <v>0.2546</v>
      </c>
      <c r="Y46" s="84">
        <v>-4.0367</v>
      </c>
      <c r="Z46" s="10">
        <f t="shared" si="19"/>
        <v>0.001305641026</v>
      </c>
      <c r="AA46" s="48">
        <f t="shared" si="20"/>
        <v>5907.779657</v>
      </c>
      <c r="AB46" s="6">
        <v>0.956</v>
      </c>
      <c r="AC46" s="5"/>
      <c r="AD46" s="85">
        <v>13.0</v>
      </c>
      <c r="AE46" s="86">
        <v>20.0</v>
      </c>
      <c r="AF46" s="85">
        <v>4.5</v>
      </c>
      <c r="AG46" s="86">
        <f t="shared" si="21"/>
        <v>270</v>
      </c>
      <c r="AH46" s="86">
        <f t="shared" si="22"/>
        <v>0.27</v>
      </c>
      <c r="AI46" s="86">
        <f t="shared" si="23"/>
        <v>7.065</v>
      </c>
      <c r="AJ46" s="87">
        <f t="shared" si="24"/>
        <v>38.21656051</v>
      </c>
      <c r="AK46" s="86">
        <f t="shared" si="25"/>
        <v>20</v>
      </c>
      <c r="AL46" s="45">
        <v>0.3165</v>
      </c>
      <c r="AM46" s="47">
        <v>-3.9244</v>
      </c>
      <c r="AN46" s="10">
        <f t="shared" si="26"/>
        <v>0.001217307692</v>
      </c>
      <c r="AO46" s="48">
        <f t="shared" si="27"/>
        <v>6160.195611</v>
      </c>
      <c r="AP46" s="6">
        <v>0.9566</v>
      </c>
      <c r="AQ46" s="5"/>
      <c r="AR46" s="5"/>
      <c r="AS46" s="5"/>
      <c r="AT46" s="5"/>
    </row>
    <row r="47">
      <c r="B47" s="45">
        <v>14.0</v>
      </c>
      <c r="C47" s="32">
        <v>20.0</v>
      </c>
      <c r="D47" s="45">
        <v>4.5</v>
      </c>
      <c r="E47" s="32">
        <f t="shared" si="7"/>
        <v>270</v>
      </c>
      <c r="F47" s="32">
        <f t="shared" si="8"/>
        <v>0.27</v>
      </c>
      <c r="G47" s="32">
        <f t="shared" si="9"/>
        <v>7.065</v>
      </c>
      <c r="H47" s="46">
        <f t="shared" si="10"/>
        <v>38.21656051</v>
      </c>
      <c r="I47" s="32">
        <f t="shared" si="11"/>
        <v>10</v>
      </c>
      <c r="J47" s="45">
        <v>0.2254</v>
      </c>
      <c r="K47" s="84">
        <v>-4.2804</v>
      </c>
      <c r="L47" s="10">
        <f t="shared" si="12"/>
        <v>0.00161</v>
      </c>
      <c r="M47" s="48">
        <f t="shared" si="13"/>
        <v>5080.191478</v>
      </c>
      <c r="N47" s="6">
        <v>0.9298</v>
      </c>
      <c r="P47" s="45">
        <v>14.0</v>
      </c>
      <c r="Q47" s="32">
        <v>20.0</v>
      </c>
      <c r="R47" s="45">
        <v>4.5</v>
      </c>
      <c r="S47" s="32">
        <f t="shared" si="14"/>
        <v>270</v>
      </c>
      <c r="T47" s="32">
        <f t="shared" si="15"/>
        <v>0.27</v>
      </c>
      <c r="U47" s="32">
        <f t="shared" si="16"/>
        <v>7.065</v>
      </c>
      <c r="V47" s="46">
        <f t="shared" si="17"/>
        <v>38.21656051</v>
      </c>
      <c r="W47" s="32">
        <f t="shared" si="18"/>
        <v>15</v>
      </c>
      <c r="X47" s="45">
        <v>0.2546</v>
      </c>
      <c r="Y47" s="84">
        <v>-4.0367</v>
      </c>
      <c r="Z47" s="10">
        <f t="shared" si="19"/>
        <v>0.001212380952</v>
      </c>
      <c r="AA47" s="48">
        <f t="shared" si="20"/>
        <v>6362.224246</v>
      </c>
      <c r="AB47" s="6">
        <v>0.956</v>
      </c>
      <c r="AC47" s="5"/>
      <c r="AD47" s="6">
        <v>14.0</v>
      </c>
      <c r="AE47" s="88">
        <v>20.0</v>
      </c>
      <c r="AF47" s="6">
        <v>4.5</v>
      </c>
      <c r="AG47" s="88">
        <f t="shared" si="21"/>
        <v>270</v>
      </c>
      <c r="AH47" s="88">
        <f t="shared" si="22"/>
        <v>0.27</v>
      </c>
      <c r="AI47" s="88">
        <f t="shared" si="23"/>
        <v>7.065</v>
      </c>
      <c r="AJ47" s="48">
        <f t="shared" si="24"/>
        <v>38.21656051</v>
      </c>
      <c r="AK47" s="88">
        <f t="shared" si="25"/>
        <v>20</v>
      </c>
      <c r="AL47" s="45">
        <v>0.3165</v>
      </c>
      <c r="AM47" s="47">
        <v>-3.9244</v>
      </c>
      <c r="AN47" s="10">
        <f t="shared" si="26"/>
        <v>0.001130357143</v>
      </c>
      <c r="AO47" s="48">
        <f t="shared" si="27"/>
        <v>6634.056812</v>
      </c>
      <c r="AP47" s="6">
        <v>0.9566</v>
      </c>
      <c r="AQ47" s="5"/>
      <c r="AR47" s="5"/>
      <c r="AS47" s="5"/>
      <c r="AT47" s="5"/>
    </row>
    <row r="48">
      <c r="B48" s="45">
        <v>15.0</v>
      </c>
      <c r="C48" s="32">
        <v>20.0</v>
      </c>
      <c r="D48" s="45">
        <v>4.5</v>
      </c>
      <c r="E48" s="32">
        <f t="shared" si="7"/>
        <v>270</v>
      </c>
      <c r="F48" s="32">
        <f t="shared" si="8"/>
        <v>0.27</v>
      </c>
      <c r="G48" s="32">
        <f t="shared" si="9"/>
        <v>7.065</v>
      </c>
      <c r="H48" s="46">
        <f t="shared" si="10"/>
        <v>38.21656051</v>
      </c>
      <c r="I48" s="32">
        <f t="shared" si="11"/>
        <v>10</v>
      </c>
      <c r="J48" s="45">
        <v>0.2254</v>
      </c>
      <c r="K48" s="84">
        <v>-4.2804</v>
      </c>
      <c r="L48" s="10">
        <f t="shared" si="12"/>
        <v>0.001502666667</v>
      </c>
      <c r="M48" s="48">
        <f t="shared" si="13"/>
        <v>5443.062298</v>
      </c>
      <c r="N48" s="6">
        <v>0.9298</v>
      </c>
      <c r="P48" s="45">
        <v>15.0</v>
      </c>
      <c r="Q48" s="32">
        <v>20.0</v>
      </c>
      <c r="R48" s="45">
        <v>4.5</v>
      </c>
      <c r="S48" s="32">
        <f t="shared" si="14"/>
        <v>270</v>
      </c>
      <c r="T48" s="32">
        <f t="shared" si="15"/>
        <v>0.27</v>
      </c>
      <c r="U48" s="32">
        <f t="shared" si="16"/>
        <v>7.065</v>
      </c>
      <c r="V48" s="46">
        <f t="shared" si="17"/>
        <v>38.21656051</v>
      </c>
      <c r="W48" s="32">
        <f t="shared" si="18"/>
        <v>15</v>
      </c>
      <c r="X48" s="45">
        <v>0.2546</v>
      </c>
      <c r="Y48" s="84">
        <v>-4.0367</v>
      </c>
      <c r="Z48" s="10">
        <f t="shared" si="19"/>
        <v>0.001131555556</v>
      </c>
      <c r="AA48" s="48">
        <f t="shared" si="20"/>
        <v>6816.668835</v>
      </c>
      <c r="AB48" s="6">
        <v>0.956</v>
      </c>
      <c r="AC48" s="5"/>
      <c r="AD48" s="5"/>
      <c r="AE48" s="1"/>
      <c r="AF48" s="5"/>
      <c r="AG48" s="1"/>
      <c r="AH48" s="1"/>
      <c r="AI48" s="1"/>
      <c r="AJ48" s="89"/>
      <c r="AK48" s="1"/>
      <c r="AL48" s="5"/>
      <c r="AM48" s="90"/>
      <c r="AN48" s="80"/>
      <c r="AO48" s="89"/>
      <c r="AP48" s="5"/>
      <c r="AQ48" s="5"/>
      <c r="AR48" s="5"/>
      <c r="AS48" s="5"/>
      <c r="AT48" s="5"/>
    </row>
    <row r="49">
      <c r="B49" s="45">
        <v>16.0</v>
      </c>
      <c r="C49" s="32">
        <v>20.0</v>
      </c>
      <c r="D49" s="45">
        <v>4.5</v>
      </c>
      <c r="E49" s="32">
        <f t="shared" si="7"/>
        <v>270</v>
      </c>
      <c r="F49" s="32">
        <f t="shared" si="8"/>
        <v>0.27</v>
      </c>
      <c r="G49" s="32">
        <f t="shared" si="9"/>
        <v>7.065</v>
      </c>
      <c r="H49" s="46">
        <f t="shared" si="10"/>
        <v>38.21656051</v>
      </c>
      <c r="I49" s="32">
        <f t="shared" si="11"/>
        <v>10</v>
      </c>
      <c r="J49" s="45">
        <v>0.2254</v>
      </c>
      <c r="K49" s="84">
        <v>-4.2804</v>
      </c>
      <c r="L49" s="10">
        <f t="shared" si="12"/>
        <v>0.00140875</v>
      </c>
      <c r="M49" s="48">
        <f t="shared" si="13"/>
        <v>5805.933118</v>
      </c>
      <c r="N49" s="6">
        <v>0.9298</v>
      </c>
      <c r="P49" s="45">
        <v>16.0</v>
      </c>
      <c r="Q49" s="32">
        <v>20.0</v>
      </c>
      <c r="R49" s="45">
        <v>4.5</v>
      </c>
      <c r="S49" s="32">
        <f t="shared" si="14"/>
        <v>270</v>
      </c>
      <c r="T49" s="32">
        <f t="shared" si="15"/>
        <v>0.27</v>
      </c>
      <c r="U49" s="32">
        <f t="shared" si="16"/>
        <v>7.065</v>
      </c>
      <c r="V49" s="46">
        <f t="shared" si="17"/>
        <v>38.21656051</v>
      </c>
      <c r="W49" s="32">
        <f t="shared" si="18"/>
        <v>15</v>
      </c>
      <c r="X49" s="45">
        <v>0.2546</v>
      </c>
      <c r="Y49" s="84">
        <v>-4.0367</v>
      </c>
      <c r="Z49" s="10">
        <f t="shared" si="19"/>
        <v>0.001060833333</v>
      </c>
      <c r="AA49" s="48">
        <f t="shared" si="20"/>
        <v>7271.113424</v>
      </c>
      <c r="AB49" s="6">
        <v>0.956</v>
      </c>
      <c r="AC49" s="5"/>
      <c r="AD49" s="5"/>
      <c r="AE49" s="1"/>
      <c r="AF49" s="5"/>
      <c r="AG49" s="1"/>
      <c r="AH49" s="1"/>
      <c r="AI49" s="1"/>
      <c r="AJ49" s="89"/>
      <c r="AK49" s="1"/>
      <c r="AL49" s="5"/>
      <c r="AM49" s="90"/>
      <c r="AN49" s="80"/>
      <c r="AO49" s="89"/>
      <c r="AP49" s="5"/>
      <c r="AQ49" s="5"/>
      <c r="AR49" s="5"/>
      <c r="AS49" s="5"/>
      <c r="AT49" s="5"/>
    </row>
    <row r="50">
      <c r="B50" s="45">
        <v>17.0</v>
      </c>
      <c r="C50" s="32">
        <v>20.0</v>
      </c>
      <c r="D50" s="45">
        <v>4.5</v>
      </c>
      <c r="E50" s="32">
        <f t="shared" si="7"/>
        <v>270</v>
      </c>
      <c r="F50" s="32">
        <f t="shared" si="8"/>
        <v>0.27</v>
      </c>
      <c r="G50" s="32">
        <f t="shared" si="9"/>
        <v>7.065</v>
      </c>
      <c r="H50" s="46">
        <f t="shared" si="10"/>
        <v>38.21656051</v>
      </c>
      <c r="I50" s="32">
        <f t="shared" si="11"/>
        <v>10</v>
      </c>
      <c r="J50" s="45">
        <v>0.2254</v>
      </c>
      <c r="K50" s="84">
        <v>-4.2804</v>
      </c>
      <c r="L50" s="10">
        <f t="shared" si="12"/>
        <v>0.001325882353</v>
      </c>
      <c r="M50" s="48">
        <f t="shared" si="13"/>
        <v>6168.803938</v>
      </c>
      <c r="N50" s="6">
        <v>0.9298</v>
      </c>
      <c r="P50" s="85">
        <v>17.0</v>
      </c>
      <c r="Q50" s="86">
        <v>20.0</v>
      </c>
      <c r="R50" s="85">
        <v>4.5</v>
      </c>
      <c r="S50" s="86">
        <f t="shared" si="14"/>
        <v>270</v>
      </c>
      <c r="T50" s="86">
        <f t="shared" si="15"/>
        <v>0.27</v>
      </c>
      <c r="U50" s="86">
        <f t="shared" si="16"/>
        <v>7.065</v>
      </c>
      <c r="V50" s="87">
        <f t="shared" si="17"/>
        <v>38.21656051</v>
      </c>
      <c r="W50" s="86">
        <f t="shared" si="18"/>
        <v>15</v>
      </c>
      <c r="X50" s="45">
        <v>0.2546</v>
      </c>
      <c r="Y50" s="84">
        <v>-4.0367</v>
      </c>
      <c r="Z50" s="10">
        <f t="shared" si="19"/>
        <v>0.0009984313725</v>
      </c>
      <c r="AA50" s="48">
        <f t="shared" si="20"/>
        <v>7725.558013</v>
      </c>
      <c r="AB50" s="6">
        <v>0.956</v>
      </c>
      <c r="AC50" s="5"/>
      <c r="AD50" s="5"/>
      <c r="AE50" s="1"/>
      <c r="AF50" s="5"/>
      <c r="AG50" s="1"/>
      <c r="AH50" s="1"/>
      <c r="AI50" s="1"/>
      <c r="AJ50" s="89"/>
      <c r="AK50" s="1"/>
      <c r="AL50" s="5"/>
      <c r="AM50" s="90"/>
      <c r="AN50" s="80"/>
      <c r="AO50" s="89"/>
      <c r="AP50" s="5"/>
      <c r="AQ50" s="5"/>
      <c r="AR50" s="5"/>
      <c r="AS50" s="5"/>
      <c r="AT50" s="5"/>
    </row>
    <row r="51">
      <c r="B51" s="45">
        <v>18.0</v>
      </c>
      <c r="C51" s="32">
        <v>20.0</v>
      </c>
      <c r="D51" s="45">
        <v>4.5</v>
      </c>
      <c r="E51" s="32">
        <f t="shared" si="7"/>
        <v>270</v>
      </c>
      <c r="F51" s="32">
        <f t="shared" si="8"/>
        <v>0.27</v>
      </c>
      <c r="G51" s="32">
        <f t="shared" si="9"/>
        <v>7.065</v>
      </c>
      <c r="H51" s="46">
        <f t="shared" si="10"/>
        <v>38.21656051</v>
      </c>
      <c r="I51" s="32">
        <f t="shared" si="11"/>
        <v>10</v>
      </c>
      <c r="J51" s="45">
        <v>0.2254</v>
      </c>
      <c r="K51" s="84">
        <v>-4.2804</v>
      </c>
      <c r="L51" s="10">
        <f t="shared" si="12"/>
        <v>0.001252222222</v>
      </c>
      <c r="M51" s="48">
        <f t="shared" si="13"/>
        <v>6531.674758</v>
      </c>
      <c r="N51" s="6">
        <v>0.9298</v>
      </c>
      <c r="P51" s="6">
        <v>18.0</v>
      </c>
      <c r="Q51" s="88">
        <v>20.0</v>
      </c>
      <c r="R51" s="6">
        <v>4.5</v>
      </c>
      <c r="S51" s="88">
        <f t="shared" si="14"/>
        <v>270</v>
      </c>
      <c r="T51" s="88">
        <f t="shared" si="15"/>
        <v>0.27</v>
      </c>
      <c r="U51" s="88">
        <f t="shared" si="16"/>
        <v>7.065</v>
      </c>
      <c r="V51" s="48">
        <f t="shared" si="17"/>
        <v>38.21656051</v>
      </c>
      <c r="W51" s="88">
        <f t="shared" si="18"/>
        <v>15</v>
      </c>
      <c r="X51" s="45">
        <v>0.2546</v>
      </c>
      <c r="Y51" s="84">
        <v>-4.0367</v>
      </c>
      <c r="Z51" s="10">
        <f t="shared" si="19"/>
        <v>0.000942962963</v>
      </c>
      <c r="AA51" s="48">
        <f t="shared" si="20"/>
        <v>8180.002602</v>
      </c>
      <c r="AB51" s="6">
        <v>0.956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</row>
    <row r="52">
      <c r="B52" s="45">
        <v>19.0</v>
      </c>
      <c r="C52" s="32">
        <v>20.0</v>
      </c>
      <c r="D52" s="45">
        <v>4.5</v>
      </c>
      <c r="E52" s="32">
        <f t="shared" si="7"/>
        <v>270</v>
      </c>
      <c r="F52" s="32">
        <f t="shared" si="8"/>
        <v>0.27</v>
      </c>
      <c r="G52" s="32">
        <f t="shared" si="9"/>
        <v>7.065</v>
      </c>
      <c r="H52" s="46">
        <f t="shared" si="10"/>
        <v>38.21656051</v>
      </c>
      <c r="I52" s="32">
        <f t="shared" si="11"/>
        <v>10</v>
      </c>
      <c r="J52" s="45">
        <v>0.2254</v>
      </c>
      <c r="K52" s="84">
        <v>-4.2804</v>
      </c>
      <c r="L52" s="10">
        <f t="shared" si="12"/>
        <v>0.001186315789</v>
      </c>
      <c r="M52" s="48">
        <f t="shared" si="13"/>
        <v>6894.545578</v>
      </c>
      <c r="N52" s="6">
        <v>0.9298</v>
      </c>
      <c r="P52" s="5"/>
      <c r="Q52" s="1"/>
      <c r="R52" s="5"/>
      <c r="S52" s="1"/>
      <c r="T52" s="1"/>
      <c r="U52" s="1"/>
      <c r="V52" s="89"/>
      <c r="W52" s="1"/>
      <c r="X52" s="5"/>
      <c r="Y52" s="90"/>
      <c r="Z52" s="80"/>
      <c r="AA52" s="89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</row>
    <row r="53">
      <c r="B53" s="45">
        <v>20.0</v>
      </c>
      <c r="C53" s="32">
        <v>20.0</v>
      </c>
      <c r="D53" s="45">
        <v>4.5</v>
      </c>
      <c r="E53" s="32">
        <f t="shared" si="7"/>
        <v>270</v>
      </c>
      <c r="F53" s="32">
        <f t="shared" si="8"/>
        <v>0.27</v>
      </c>
      <c r="G53" s="32">
        <f t="shared" si="9"/>
        <v>7.065</v>
      </c>
      <c r="H53" s="46">
        <f t="shared" si="10"/>
        <v>38.21656051</v>
      </c>
      <c r="I53" s="32">
        <f t="shared" si="11"/>
        <v>10</v>
      </c>
      <c r="J53" s="45">
        <v>0.2254</v>
      </c>
      <c r="K53" s="84">
        <v>-4.2804</v>
      </c>
      <c r="L53" s="10">
        <f t="shared" si="12"/>
        <v>0.001127</v>
      </c>
      <c r="M53" s="48">
        <f t="shared" si="13"/>
        <v>7257.416398</v>
      </c>
      <c r="N53" s="6">
        <v>0.9298</v>
      </c>
      <c r="P53" s="5"/>
      <c r="Q53" s="1"/>
      <c r="R53" s="5"/>
      <c r="S53" s="1"/>
      <c r="T53" s="1"/>
      <c r="U53" s="1"/>
      <c r="V53" s="89"/>
      <c r="W53" s="1"/>
      <c r="X53" s="5"/>
      <c r="Y53" s="90"/>
      <c r="Z53" s="80"/>
      <c r="AA53" s="89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</row>
    <row r="54">
      <c r="B54" s="45">
        <v>21.0</v>
      </c>
      <c r="C54" s="32">
        <v>20.0</v>
      </c>
      <c r="D54" s="45">
        <v>4.5</v>
      </c>
      <c r="E54" s="32">
        <f t="shared" si="7"/>
        <v>270</v>
      </c>
      <c r="F54" s="32">
        <f t="shared" si="8"/>
        <v>0.27</v>
      </c>
      <c r="G54" s="32">
        <f t="shared" si="9"/>
        <v>7.065</v>
      </c>
      <c r="H54" s="46">
        <f t="shared" si="10"/>
        <v>38.21656051</v>
      </c>
      <c r="I54" s="32">
        <f t="shared" si="11"/>
        <v>10</v>
      </c>
      <c r="J54" s="45">
        <v>0.2254</v>
      </c>
      <c r="K54" s="84">
        <v>-4.2804</v>
      </c>
      <c r="L54" s="10">
        <f t="shared" si="12"/>
        <v>0.001073333333</v>
      </c>
      <c r="M54" s="48">
        <f t="shared" si="13"/>
        <v>7620.287218</v>
      </c>
      <c r="N54" s="6">
        <v>0.9298</v>
      </c>
      <c r="P54" s="5"/>
      <c r="Q54" s="1"/>
      <c r="R54" s="5"/>
      <c r="S54" s="1"/>
      <c r="T54" s="1"/>
      <c r="U54" s="1"/>
      <c r="V54" s="89"/>
      <c r="W54" s="1"/>
      <c r="X54" s="5"/>
      <c r="Y54" s="90"/>
      <c r="Z54" s="80"/>
      <c r="AA54" s="89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</row>
    <row r="55">
      <c r="B55" s="45">
        <v>22.0</v>
      </c>
      <c r="C55" s="32">
        <v>20.0</v>
      </c>
      <c r="D55" s="45">
        <v>4.5</v>
      </c>
      <c r="E55" s="32">
        <f t="shared" si="7"/>
        <v>270</v>
      </c>
      <c r="F55" s="32">
        <f t="shared" si="8"/>
        <v>0.27</v>
      </c>
      <c r="G55" s="32">
        <f t="shared" si="9"/>
        <v>7.065</v>
      </c>
      <c r="H55" s="46">
        <f t="shared" si="10"/>
        <v>38.21656051</v>
      </c>
      <c r="I55" s="32">
        <f t="shared" si="11"/>
        <v>10</v>
      </c>
      <c r="J55" s="45">
        <v>0.2254</v>
      </c>
      <c r="K55" s="84">
        <v>-4.2804</v>
      </c>
      <c r="L55" s="10">
        <f t="shared" si="12"/>
        <v>0.001024545455</v>
      </c>
      <c r="M55" s="48">
        <f t="shared" si="13"/>
        <v>7983.158038</v>
      </c>
      <c r="N55" s="6">
        <v>0.9298</v>
      </c>
      <c r="P55" s="5"/>
      <c r="Q55" s="1"/>
      <c r="R55" s="5"/>
      <c r="S55" s="1"/>
      <c r="T55" s="1"/>
      <c r="U55" s="1"/>
      <c r="V55" s="89"/>
      <c r="W55" s="1"/>
      <c r="X55" s="5"/>
      <c r="Y55" s="90"/>
      <c r="Z55" s="80"/>
      <c r="AA55" s="89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</row>
  </sheetData>
  <mergeCells count="13">
    <mergeCell ref="B31:J31"/>
    <mergeCell ref="P31:X31"/>
    <mergeCell ref="AD21:AI21"/>
    <mergeCell ref="P23:U23"/>
    <mergeCell ref="P24:U24"/>
    <mergeCell ref="AD20:AI20"/>
    <mergeCell ref="B27:G27"/>
    <mergeCell ref="B28:G28"/>
    <mergeCell ref="P25:U25"/>
    <mergeCell ref="B2:I2"/>
    <mergeCell ref="AD19:AI19"/>
    <mergeCell ref="P2:W2"/>
    <mergeCell ref="AD2:AK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25"/>
    <col customWidth="1" min="6" max="6" width="1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>
      <c r="A2" s="1"/>
      <c r="B2" s="2" t="s">
        <v>53</v>
      </c>
      <c r="H2" s="1"/>
      <c r="I2" s="2"/>
      <c r="Q2" s="2" t="s">
        <v>54</v>
      </c>
      <c r="Y2" s="1"/>
      <c r="Z2" s="1"/>
      <c r="AA2" s="1"/>
      <c r="AB2" s="1"/>
      <c r="AC2" s="1"/>
      <c r="AD2" s="1"/>
      <c r="AE2" s="1"/>
      <c r="AF2" s="2" t="s">
        <v>55</v>
      </c>
      <c r="AN2" s="1"/>
      <c r="AO2" s="1"/>
      <c r="AP2" s="1"/>
      <c r="AQ2" s="1"/>
      <c r="AR2" s="1"/>
      <c r="AS2" s="1"/>
      <c r="AT2" s="1"/>
      <c r="AU2" s="1"/>
    </row>
    <row r="3">
      <c r="A3" s="1"/>
      <c r="B3" s="3" t="s">
        <v>1</v>
      </c>
      <c r="C3" s="3" t="s">
        <v>2</v>
      </c>
      <c r="D3" s="3" t="s">
        <v>3</v>
      </c>
      <c r="E3" s="3" t="s">
        <v>52</v>
      </c>
      <c r="F3" s="3" t="s">
        <v>5</v>
      </c>
      <c r="G3" s="3" t="s">
        <v>6</v>
      </c>
      <c r="H3" s="3" t="s">
        <v>7</v>
      </c>
      <c r="I3" s="3" t="s">
        <v>8</v>
      </c>
      <c r="J3" s="2"/>
      <c r="K3" s="2"/>
      <c r="L3" s="2"/>
      <c r="M3" s="2"/>
      <c r="N3" s="2"/>
      <c r="O3" s="2"/>
      <c r="P3" s="2"/>
      <c r="Q3" s="50" t="s">
        <v>1</v>
      </c>
      <c r="R3" s="50" t="s">
        <v>2</v>
      </c>
      <c r="S3" s="50" t="s">
        <v>3</v>
      </c>
      <c r="T3" s="50" t="s">
        <v>52</v>
      </c>
      <c r="U3" s="50" t="s">
        <v>41</v>
      </c>
      <c r="V3" s="50" t="s">
        <v>6</v>
      </c>
      <c r="W3" s="50" t="s">
        <v>7</v>
      </c>
      <c r="X3" s="50" t="s">
        <v>8</v>
      </c>
      <c r="Y3" s="1"/>
      <c r="Z3" s="1"/>
      <c r="AA3" s="1"/>
      <c r="AB3" s="1"/>
      <c r="AC3" s="1"/>
      <c r="AD3" s="1"/>
      <c r="AE3" s="1"/>
      <c r="AF3" s="65" t="s">
        <v>1</v>
      </c>
      <c r="AG3" s="65" t="s">
        <v>2</v>
      </c>
      <c r="AH3" s="65" t="s">
        <v>3</v>
      </c>
      <c r="AI3" s="65" t="s">
        <v>4</v>
      </c>
      <c r="AJ3" s="65" t="s">
        <v>41</v>
      </c>
      <c r="AK3" s="65" t="s">
        <v>6</v>
      </c>
      <c r="AL3" s="65" t="s">
        <v>7</v>
      </c>
      <c r="AM3" s="65" t="s">
        <v>8</v>
      </c>
      <c r="AN3" s="1"/>
      <c r="AO3" s="1"/>
      <c r="AP3" s="1"/>
      <c r="AQ3" s="1"/>
      <c r="AR3" s="1"/>
      <c r="AS3" s="1"/>
      <c r="AT3" s="1"/>
      <c r="AU3" s="1"/>
    </row>
    <row r="4">
      <c r="A4" s="1"/>
      <c r="B4" s="4" t="s">
        <v>9</v>
      </c>
      <c r="C4" s="4" t="s">
        <v>10</v>
      </c>
      <c r="D4" s="4" t="s">
        <v>11</v>
      </c>
      <c r="E4" s="4" t="s">
        <v>11</v>
      </c>
      <c r="F4" s="4"/>
      <c r="G4" s="4" t="s">
        <v>12</v>
      </c>
      <c r="H4" s="4"/>
      <c r="I4" s="4"/>
      <c r="J4" s="5"/>
      <c r="K4" s="5"/>
      <c r="L4" s="1"/>
      <c r="M4" s="1"/>
      <c r="N4" s="5"/>
      <c r="O4" s="5"/>
      <c r="P4" s="1"/>
      <c r="Q4" s="51" t="s">
        <v>9</v>
      </c>
      <c r="R4" s="51" t="s">
        <v>10</v>
      </c>
      <c r="S4" s="51" t="s">
        <v>11</v>
      </c>
      <c r="T4" s="51" t="s">
        <v>11</v>
      </c>
      <c r="U4" s="51" t="s">
        <v>42</v>
      </c>
      <c r="V4" s="51" t="s">
        <v>12</v>
      </c>
      <c r="W4" s="51"/>
      <c r="X4" s="51"/>
      <c r="Y4" s="1"/>
      <c r="Z4" s="1"/>
      <c r="AA4" s="1"/>
      <c r="AB4" s="1"/>
      <c r="AC4" s="1"/>
      <c r="AD4" s="1"/>
      <c r="AE4" s="1"/>
      <c r="AF4" s="66" t="s">
        <v>9</v>
      </c>
      <c r="AG4" s="66" t="s">
        <v>10</v>
      </c>
      <c r="AH4" s="66" t="s">
        <v>11</v>
      </c>
      <c r="AI4" s="66" t="s">
        <v>11</v>
      </c>
      <c r="AJ4" s="66" t="s">
        <v>42</v>
      </c>
      <c r="AK4" s="66" t="s">
        <v>12</v>
      </c>
      <c r="AL4" s="66"/>
      <c r="AM4" s="66"/>
      <c r="AN4" s="1"/>
      <c r="AO4" s="1"/>
      <c r="AP4" s="1"/>
      <c r="AQ4" s="1"/>
      <c r="AR4" s="1"/>
      <c r="AS4" s="1"/>
      <c r="AT4" s="1"/>
      <c r="AU4" s="1"/>
    </row>
    <row r="5">
      <c r="A5" s="1"/>
      <c r="B5" s="6">
        <v>1.0</v>
      </c>
      <c r="C5" s="6">
        <v>1.0</v>
      </c>
      <c r="D5" s="6">
        <v>10.0</v>
      </c>
      <c r="E5" s="7">
        <v>0.1232</v>
      </c>
      <c r="F5" s="91">
        <v>0.27</v>
      </c>
      <c r="G5" s="9">
        <v>0.99</v>
      </c>
      <c r="H5" s="10">
        <f t="shared" ref="H5:H26" si="1">LN(E5/D5)</f>
        <v>-4.396531321</v>
      </c>
      <c r="I5" s="11">
        <f t="shared" ref="I5:I26" si="2">E5/D5</f>
        <v>0.01232</v>
      </c>
      <c r="J5" s="5"/>
      <c r="K5" s="1"/>
      <c r="L5" s="1"/>
      <c r="M5" s="1"/>
      <c r="N5" s="1"/>
      <c r="O5" s="1"/>
      <c r="P5" s="1"/>
      <c r="Q5" s="6">
        <v>1.0</v>
      </c>
      <c r="R5" s="6">
        <v>1.0</v>
      </c>
      <c r="S5" s="7">
        <v>15.0</v>
      </c>
      <c r="T5" s="7">
        <v>0.26</v>
      </c>
      <c r="U5" s="7">
        <v>0.27</v>
      </c>
      <c r="V5" s="9">
        <v>0.98</v>
      </c>
      <c r="W5" s="10">
        <f t="shared" ref="W5:W22" si="3">LN(T5/S5)</f>
        <v>-4.055123849</v>
      </c>
      <c r="X5" s="11">
        <f t="shared" ref="X5:X22" si="4">T5/S5</f>
        <v>0.01733333333</v>
      </c>
      <c r="Y5" s="1"/>
      <c r="Z5" s="1"/>
      <c r="AA5" s="1"/>
      <c r="AB5" s="1"/>
      <c r="AC5" s="1"/>
      <c r="AD5" s="1"/>
      <c r="AE5" s="1"/>
      <c r="AF5" s="6">
        <v>1.0</v>
      </c>
      <c r="AG5" s="6">
        <v>1.0</v>
      </c>
      <c r="AH5" s="7">
        <v>20.0</v>
      </c>
      <c r="AI5" s="7">
        <v>0.346</v>
      </c>
      <c r="AJ5" s="7">
        <v>0.27</v>
      </c>
      <c r="AK5" s="9">
        <v>0.98</v>
      </c>
      <c r="AL5" s="10">
        <f t="shared" ref="AL5:AL18" si="5">LN(AI5/AH5)</f>
        <v>-4.057048777</v>
      </c>
      <c r="AM5" s="11">
        <f t="shared" ref="AM5:AM18" si="6">AI5/AH5</f>
        <v>0.0173</v>
      </c>
      <c r="AN5" s="1"/>
      <c r="AO5" s="1"/>
      <c r="AP5" s="1"/>
      <c r="AQ5" s="1"/>
      <c r="AR5" s="1"/>
      <c r="AS5" s="1"/>
      <c r="AT5" s="1"/>
      <c r="AU5" s="1"/>
    </row>
    <row r="6">
      <c r="A6" s="1"/>
      <c r="B6" s="6">
        <v>2.0</v>
      </c>
      <c r="C6" s="6">
        <v>2.0</v>
      </c>
      <c r="D6" s="6">
        <v>10.0</v>
      </c>
      <c r="E6" s="7">
        <v>0.2229</v>
      </c>
      <c r="F6" s="91">
        <v>0.54</v>
      </c>
      <c r="G6" s="9">
        <v>0.98</v>
      </c>
      <c r="H6" s="10">
        <f t="shared" si="1"/>
        <v>-3.803617132</v>
      </c>
      <c r="I6" s="11">
        <f t="shared" si="2"/>
        <v>0.02229</v>
      </c>
      <c r="J6" s="5"/>
      <c r="K6" s="1"/>
      <c r="L6" s="1"/>
      <c r="M6" s="1"/>
      <c r="N6" s="1"/>
      <c r="O6" s="1"/>
      <c r="P6" s="1"/>
      <c r="Q6" s="6">
        <v>2.0</v>
      </c>
      <c r="R6" s="6">
        <v>2.0</v>
      </c>
      <c r="S6" s="7">
        <v>15.0</v>
      </c>
      <c r="T6" s="7">
        <v>0.501</v>
      </c>
      <c r="U6" s="7">
        <v>0.54</v>
      </c>
      <c r="V6" s="9">
        <v>0.97</v>
      </c>
      <c r="W6" s="10">
        <f t="shared" si="3"/>
        <v>-3.399199379</v>
      </c>
      <c r="X6" s="11">
        <f t="shared" si="4"/>
        <v>0.0334</v>
      </c>
      <c r="Y6" s="1"/>
      <c r="Z6" s="1"/>
      <c r="AA6" s="1"/>
      <c r="AB6" s="1"/>
      <c r="AC6" s="1"/>
      <c r="AD6" s="1"/>
      <c r="AE6" s="1"/>
      <c r="AF6" s="6">
        <v>2.0</v>
      </c>
      <c r="AG6" s="6">
        <v>2.0</v>
      </c>
      <c r="AH6" s="7">
        <v>20.0</v>
      </c>
      <c r="AI6" s="7">
        <v>0.668</v>
      </c>
      <c r="AJ6" s="7">
        <v>0.54</v>
      </c>
      <c r="AK6" s="9">
        <v>0.97</v>
      </c>
      <c r="AL6" s="10">
        <f t="shared" si="5"/>
        <v>-3.399199379</v>
      </c>
      <c r="AM6" s="11">
        <f t="shared" si="6"/>
        <v>0.0334</v>
      </c>
      <c r="AN6" s="1"/>
      <c r="AO6" s="1"/>
      <c r="AP6" s="1"/>
      <c r="AQ6" s="1"/>
      <c r="AR6" s="1"/>
      <c r="AS6" s="1"/>
      <c r="AT6" s="1"/>
      <c r="AU6" s="1"/>
    </row>
    <row r="7">
      <c r="A7" s="1"/>
      <c r="B7" s="6">
        <v>3.0</v>
      </c>
      <c r="C7" s="6">
        <v>3.0</v>
      </c>
      <c r="D7" s="6">
        <v>10.0</v>
      </c>
      <c r="E7" s="7">
        <v>0.3133</v>
      </c>
      <c r="F7" s="91">
        <v>0.81</v>
      </c>
      <c r="G7" s="9">
        <v>0.97</v>
      </c>
      <c r="H7" s="10">
        <f t="shared" si="1"/>
        <v>-3.463179174</v>
      </c>
      <c r="I7" s="11">
        <f t="shared" si="2"/>
        <v>0.03133</v>
      </c>
      <c r="J7" s="5"/>
      <c r="K7" s="1"/>
      <c r="L7" s="1"/>
      <c r="M7" s="1"/>
      <c r="N7" s="1"/>
      <c r="O7" s="1"/>
      <c r="P7" s="1"/>
      <c r="Q7" s="6">
        <v>3.0</v>
      </c>
      <c r="R7" s="6">
        <v>3.0</v>
      </c>
      <c r="S7" s="7">
        <v>15.0</v>
      </c>
      <c r="T7" s="7">
        <v>0.517</v>
      </c>
      <c r="U7" s="7">
        <v>0.81</v>
      </c>
      <c r="V7" s="9">
        <v>0.97</v>
      </c>
      <c r="W7" s="10">
        <f t="shared" si="3"/>
        <v>-3.367762606</v>
      </c>
      <c r="X7" s="11">
        <f t="shared" si="4"/>
        <v>0.03446666667</v>
      </c>
      <c r="Y7" s="1"/>
      <c r="Z7" s="1"/>
      <c r="AA7" s="1"/>
      <c r="AB7" s="1"/>
      <c r="AC7" s="1"/>
      <c r="AD7" s="1"/>
      <c r="AE7" s="1"/>
      <c r="AF7" s="12">
        <v>3.0</v>
      </c>
      <c r="AG7" s="12">
        <v>3.0</v>
      </c>
      <c r="AH7" s="13">
        <v>20.0</v>
      </c>
      <c r="AI7" s="13">
        <v>0.946</v>
      </c>
      <c r="AJ7" s="13">
        <v>0.81</v>
      </c>
      <c r="AK7" s="15">
        <v>0.95</v>
      </c>
      <c r="AL7" s="10">
        <f t="shared" si="5"/>
        <v>-3.051244983</v>
      </c>
      <c r="AM7" s="11">
        <f t="shared" si="6"/>
        <v>0.0473</v>
      </c>
      <c r="AN7" s="1"/>
      <c r="AO7" s="1"/>
      <c r="AP7" s="1"/>
      <c r="AQ7" s="1"/>
      <c r="AR7" s="1"/>
      <c r="AS7" s="1"/>
      <c r="AT7" s="1"/>
      <c r="AU7" s="1"/>
    </row>
    <row r="8">
      <c r="A8" s="1"/>
      <c r="B8" s="6">
        <v>4.0</v>
      </c>
      <c r="C8" s="6">
        <v>4.0</v>
      </c>
      <c r="D8" s="6">
        <v>10.0</v>
      </c>
      <c r="E8" s="7">
        <v>0.3435</v>
      </c>
      <c r="F8" s="91">
        <v>1.08</v>
      </c>
      <c r="G8" s="9">
        <v>0.97</v>
      </c>
      <c r="H8" s="10">
        <f t="shared" si="1"/>
        <v>-3.37115326</v>
      </c>
      <c r="I8" s="11">
        <f t="shared" si="2"/>
        <v>0.03435</v>
      </c>
      <c r="J8" s="5"/>
      <c r="K8" s="1"/>
      <c r="L8" s="1"/>
      <c r="M8" s="1"/>
      <c r="N8" s="1"/>
      <c r="O8" s="1"/>
      <c r="P8" s="1"/>
      <c r="Q8" s="6">
        <v>4.0</v>
      </c>
      <c r="R8" s="6">
        <v>4.0</v>
      </c>
      <c r="S8" s="7">
        <v>15.0</v>
      </c>
      <c r="T8" s="7">
        <v>0.575</v>
      </c>
      <c r="U8" s="7">
        <v>1.08</v>
      </c>
      <c r="V8" s="9">
        <v>0.96</v>
      </c>
      <c r="W8" s="10">
        <f t="shared" si="3"/>
        <v>-3.261435439</v>
      </c>
      <c r="X8" s="11">
        <f t="shared" si="4"/>
        <v>0.03833333333</v>
      </c>
      <c r="Y8" s="1"/>
      <c r="Z8" s="1"/>
      <c r="AA8" s="1"/>
      <c r="AB8" s="1"/>
      <c r="AC8" s="1"/>
      <c r="AD8" s="1"/>
      <c r="AE8" s="1"/>
      <c r="AF8" s="6">
        <v>4.0</v>
      </c>
      <c r="AG8" s="6">
        <v>4.0</v>
      </c>
      <c r="AH8" s="7">
        <v>20.0</v>
      </c>
      <c r="AI8" s="7">
        <v>1.176</v>
      </c>
      <c r="AJ8" s="7">
        <v>1.08</v>
      </c>
      <c r="AK8" s="9">
        <v>0.94</v>
      </c>
      <c r="AL8" s="10">
        <f t="shared" si="5"/>
        <v>-2.833613424</v>
      </c>
      <c r="AM8" s="11">
        <f t="shared" si="6"/>
        <v>0.0588</v>
      </c>
      <c r="AN8" s="1"/>
      <c r="AO8" s="1"/>
      <c r="AP8" s="1"/>
      <c r="AQ8" s="1"/>
      <c r="AR8" s="1"/>
      <c r="AS8" s="1"/>
      <c r="AT8" s="1"/>
      <c r="AU8" s="1"/>
    </row>
    <row r="9">
      <c r="A9" s="1"/>
      <c r="B9" s="6">
        <v>5.0</v>
      </c>
      <c r="C9" s="6">
        <v>5.0</v>
      </c>
      <c r="D9" s="6">
        <v>10.0</v>
      </c>
      <c r="E9" s="7">
        <v>0.2948</v>
      </c>
      <c r="F9" s="91">
        <v>1.35</v>
      </c>
      <c r="G9" s="9">
        <v>0.97</v>
      </c>
      <c r="H9" s="10">
        <f t="shared" si="1"/>
        <v>-3.524043212</v>
      </c>
      <c r="I9" s="11">
        <f t="shared" si="2"/>
        <v>0.02948</v>
      </c>
      <c r="J9" s="5"/>
      <c r="K9" s="1"/>
      <c r="L9" s="1"/>
      <c r="M9" s="1"/>
      <c r="N9" s="1"/>
      <c r="O9" s="1"/>
      <c r="P9" s="1"/>
      <c r="Q9" s="6">
        <v>5.0</v>
      </c>
      <c r="R9" s="6">
        <v>5.0</v>
      </c>
      <c r="S9" s="7">
        <v>15.0</v>
      </c>
      <c r="T9" s="7">
        <v>0.71</v>
      </c>
      <c r="U9" s="7">
        <v>1.35</v>
      </c>
      <c r="V9" s="9">
        <v>0.95</v>
      </c>
      <c r="W9" s="10">
        <f t="shared" si="3"/>
        <v>-3.05054051</v>
      </c>
      <c r="X9" s="11">
        <f t="shared" si="4"/>
        <v>0.04733333333</v>
      </c>
      <c r="Y9" s="1"/>
      <c r="Z9" s="1"/>
      <c r="AA9" s="1"/>
      <c r="AB9" s="1"/>
      <c r="AC9" s="1"/>
      <c r="AD9" s="1"/>
      <c r="AE9" s="1"/>
      <c r="AF9" s="6">
        <v>5.0</v>
      </c>
      <c r="AG9" s="6">
        <v>5.0</v>
      </c>
      <c r="AH9" s="7">
        <v>20.0</v>
      </c>
      <c r="AI9" s="7">
        <v>2.265</v>
      </c>
      <c r="AJ9" s="7">
        <v>1.35</v>
      </c>
      <c r="AK9" s="9">
        <v>0.89</v>
      </c>
      <c r="AL9" s="10">
        <f t="shared" si="5"/>
        <v>-2.178157515</v>
      </c>
      <c r="AM9" s="11">
        <f t="shared" si="6"/>
        <v>0.11325</v>
      </c>
      <c r="AN9" s="1"/>
      <c r="AO9" s="1"/>
      <c r="AP9" s="1"/>
      <c r="AQ9" s="1"/>
      <c r="AR9" s="1"/>
      <c r="AS9" s="1"/>
      <c r="AT9" s="1"/>
      <c r="AU9" s="1"/>
    </row>
    <row r="10">
      <c r="A10" s="1"/>
      <c r="B10" s="6">
        <v>6.0</v>
      </c>
      <c r="C10" s="6">
        <v>6.0</v>
      </c>
      <c r="D10" s="6">
        <v>10.0</v>
      </c>
      <c r="E10" s="7">
        <v>0.3597</v>
      </c>
      <c r="F10" s="91">
        <v>1.62</v>
      </c>
      <c r="G10" s="9">
        <v>0.96</v>
      </c>
      <c r="H10" s="10">
        <f t="shared" si="1"/>
        <v>-3.325070021</v>
      </c>
      <c r="I10" s="11">
        <f t="shared" si="2"/>
        <v>0.03597</v>
      </c>
      <c r="J10" s="5"/>
      <c r="K10" s="1"/>
      <c r="L10" s="1"/>
      <c r="M10" s="1"/>
      <c r="N10" s="1"/>
      <c r="O10" s="1"/>
      <c r="P10" s="1"/>
      <c r="Q10" s="12">
        <v>6.0</v>
      </c>
      <c r="R10" s="12">
        <v>6.0</v>
      </c>
      <c r="S10" s="13">
        <v>15.0</v>
      </c>
      <c r="T10" s="13">
        <v>0.882</v>
      </c>
      <c r="U10" s="13">
        <v>1.62</v>
      </c>
      <c r="V10" s="15">
        <v>0.94</v>
      </c>
      <c r="W10" s="10">
        <f t="shared" si="3"/>
        <v>-2.833613424</v>
      </c>
      <c r="X10" s="11">
        <f t="shared" si="4"/>
        <v>0.0588</v>
      </c>
      <c r="Y10" s="1"/>
      <c r="Z10" s="1"/>
      <c r="AA10" s="1"/>
      <c r="AB10" s="1"/>
      <c r="AC10" s="1"/>
      <c r="AD10" s="1"/>
      <c r="AE10" s="1"/>
      <c r="AF10" s="6">
        <v>6.0</v>
      </c>
      <c r="AG10" s="6">
        <v>6.0</v>
      </c>
      <c r="AH10" s="7">
        <v>20.0</v>
      </c>
      <c r="AI10" s="7">
        <v>3.638</v>
      </c>
      <c r="AJ10" s="7">
        <v>1.62</v>
      </c>
      <c r="AK10" s="9">
        <v>0.82</v>
      </c>
      <c r="AL10" s="10">
        <f t="shared" si="5"/>
        <v>-1.704298193</v>
      </c>
      <c r="AM10" s="11">
        <f t="shared" si="6"/>
        <v>0.1819</v>
      </c>
      <c r="AN10" s="1"/>
      <c r="AO10" s="1"/>
      <c r="AP10" s="1"/>
      <c r="AQ10" s="1"/>
      <c r="AR10" s="1"/>
      <c r="AS10" s="1"/>
      <c r="AT10" s="1"/>
      <c r="AU10" s="1"/>
    </row>
    <row r="11">
      <c r="A11" s="1"/>
      <c r="B11" s="6">
        <v>7.0</v>
      </c>
      <c r="C11" s="6">
        <v>7.0</v>
      </c>
      <c r="D11" s="6">
        <v>10.0</v>
      </c>
      <c r="E11" s="7">
        <v>0.4223</v>
      </c>
      <c r="F11" s="91">
        <v>1.89</v>
      </c>
      <c r="G11" s="9">
        <v>0.96</v>
      </c>
      <c r="H11" s="10">
        <f t="shared" si="1"/>
        <v>-3.16462441</v>
      </c>
      <c r="I11" s="11">
        <f t="shared" si="2"/>
        <v>0.04223</v>
      </c>
      <c r="J11" s="5"/>
      <c r="K11" s="1"/>
      <c r="L11" s="1"/>
      <c r="M11" s="1"/>
      <c r="N11" s="1"/>
      <c r="O11" s="1"/>
      <c r="P11" s="1"/>
      <c r="Q11" s="6">
        <v>7.0</v>
      </c>
      <c r="R11" s="6">
        <v>7.0</v>
      </c>
      <c r="S11" s="7">
        <v>15.0</v>
      </c>
      <c r="T11" s="7">
        <v>1.699</v>
      </c>
      <c r="U11" s="7">
        <v>1.89</v>
      </c>
      <c r="V11" s="9">
        <v>0.89</v>
      </c>
      <c r="W11" s="10">
        <f t="shared" si="3"/>
        <v>-2.178010358</v>
      </c>
      <c r="X11" s="11">
        <f t="shared" si="4"/>
        <v>0.1132666667</v>
      </c>
      <c r="Y11" s="1"/>
      <c r="Z11" s="1"/>
      <c r="AA11" s="1"/>
      <c r="AB11" s="1"/>
      <c r="AC11" s="1"/>
      <c r="AD11" s="1"/>
      <c r="AE11" s="1"/>
      <c r="AF11" s="6">
        <v>7.0</v>
      </c>
      <c r="AG11" s="6">
        <v>7.0</v>
      </c>
      <c r="AH11" s="7">
        <v>20.0</v>
      </c>
      <c r="AI11" s="7">
        <v>5.493</v>
      </c>
      <c r="AJ11" s="7">
        <v>1.89</v>
      </c>
      <c r="AK11" s="9">
        <v>0.73</v>
      </c>
      <c r="AL11" s="10">
        <f t="shared" si="5"/>
        <v>-1.292257719</v>
      </c>
      <c r="AM11" s="11">
        <f t="shared" si="6"/>
        <v>0.27465</v>
      </c>
      <c r="AN11" s="1"/>
      <c r="AO11" s="1"/>
      <c r="AP11" s="1"/>
      <c r="AQ11" s="1"/>
      <c r="AR11" s="1"/>
      <c r="AS11" s="1"/>
      <c r="AT11" s="1"/>
      <c r="AU11" s="1"/>
    </row>
    <row r="12">
      <c r="A12" s="1"/>
      <c r="B12" s="6">
        <v>8.0</v>
      </c>
      <c r="C12" s="6">
        <v>8.0</v>
      </c>
      <c r="D12" s="6">
        <v>10.0</v>
      </c>
      <c r="E12" s="7">
        <v>0.4826</v>
      </c>
      <c r="F12" s="91">
        <v>2.16</v>
      </c>
      <c r="G12" s="9">
        <v>0.95</v>
      </c>
      <c r="H12" s="10">
        <f t="shared" si="1"/>
        <v>-3.031152219</v>
      </c>
      <c r="I12" s="11">
        <f t="shared" si="2"/>
        <v>0.04826</v>
      </c>
      <c r="J12" s="5"/>
      <c r="K12" s="1"/>
      <c r="L12" s="1"/>
      <c r="M12" s="1"/>
      <c r="N12" s="1"/>
      <c r="O12" s="1"/>
      <c r="P12" s="1"/>
      <c r="Q12" s="6">
        <v>8.0</v>
      </c>
      <c r="R12" s="6">
        <v>8.0</v>
      </c>
      <c r="S12" s="7">
        <v>15.0</v>
      </c>
      <c r="T12" s="7">
        <v>2.729</v>
      </c>
      <c r="U12" s="7">
        <v>2.16</v>
      </c>
      <c r="V12" s="9">
        <v>0.82</v>
      </c>
      <c r="W12" s="10">
        <f t="shared" si="3"/>
        <v>-1.704114959</v>
      </c>
      <c r="X12" s="11">
        <f t="shared" si="4"/>
        <v>0.1819333333</v>
      </c>
      <c r="Y12" s="1"/>
      <c r="Z12" s="1"/>
      <c r="AA12" s="1"/>
      <c r="AB12" s="1"/>
      <c r="AC12" s="1"/>
      <c r="AD12" s="1"/>
      <c r="AE12" s="1"/>
      <c r="AF12" s="6">
        <v>8.0</v>
      </c>
      <c r="AG12" s="6">
        <v>8.0</v>
      </c>
      <c r="AH12" s="7">
        <v>20.0</v>
      </c>
      <c r="AI12" s="7">
        <v>5.568</v>
      </c>
      <c r="AJ12" s="7">
        <v>2.16</v>
      </c>
      <c r="AK12" s="9">
        <v>0.72</v>
      </c>
      <c r="AL12" s="10">
        <f t="shared" si="5"/>
        <v>-1.278696351</v>
      </c>
      <c r="AM12" s="11">
        <f t="shared" si="6"/>
        <v>0.2784</v>
      </c>
      <c r="AN12" s="1"/>
      <c r="AO12" s="1"/>
      <c r="AP12" s="1"/>
      <c r="AQ12" s="1"/>
      <c r="AR12" s="1"/>
      <c r="AS12" s="1"/>
      <c r="AT12" s="1"/>
      <c r="AU12" s="1"/>
    </row>
    <row r="13">
      <c r="A13" s="1"/>
      <c r="B13" s="12">
        <v>9.0</v>
      </c>
      <c r="C13" s="12">
        <v>9.0</v>
      </c>
      <c r="D13" s="12">
        <v>10.0</v>
      </c>
      <c r="E13" s="13">
        <v>1.3374</v>
      </c>
      <c r="F13" s="92">
        <v>2.43</v>
      </c>
      <c r="G13" s="15">
        <v>0.87</v>
      </c>
      <c r="H13" s="16">
        <f t="shared" si="1"/>
        <v>-2.011857662</v>
      </c>
      <c r="I13" s="17">
        <f t="shared" si="2"/>
        <v>0.13374</v>
      </c>
      <c r="J13" s="5"/>
      <c r="K13" s="1"/>
      <c r="L13" s="1"/>
      <c r="M13" s="1"/>
      <c r="N13" s="1"/>
      <c r="O13" s="1"/>
      <c r="P13" s="1"/>
      <c r="Q13" s="6">
        <v>9.0</v>
      </c>
      <c r="R13" s="6">
        <v>9.0</v>
      </c>
      <c r="S13" s="7">
        <v>15.0</v>
      </c>
      <c r="T13" s="7">
        <v>4.12</v>
      </c>
      <c r="U13" s="7">
        <v>2.43</v>
      </c>
      <c r="V13" s="9">
        <v>0.73</v>
      </c>
      <c r="W13" s="10">
        <f t="shared" si="3"/>
        <v>-1.292197038</v>
      </c>
      <c r="X13" s="11">
        <f t="shared" si="4"/>
        <v>0.2746666667</v>
      </c>
      <c r="Y13" s="1"/>
      <c r="Z13" s="1"/>
      <c r="AA13" s="1"/>
      <c r="AB13" s="1"/>
      <c r="AC13" s="1"/>
      <c r="AD13" s="1"/>
      <c r="AE13" s="1"/>
      <c r="AF13" s="6">
        <v>9.0</v>
      </c>
      <c r="AG13" s="6">
        <v>9.0</v>
      </c>
      <c r="AH13" s="7">
        <v>20.0</v>
      </c>
      <c r="AI13" s="7">
        <v>8.24</v>
      </c>
      <c r="AJ13" s="7">
        <v>2.43</v>
      </c>
      <c r="AK13" s="9">
        <v>0.59</v>
      </c>
      <c r="AL13" s="10">
        <f t="shared" si="5"/>
        <v>-0.8867319296</v>
      </c>
      <c r="AM13" s="11">
        <f t="shared" si="6"/>
        <v>0.412</v>
      </c>
      <c r="AN13" s="1"/>
      <c r="AO13" s="1"/>
      <c r="AP13" s="1"/>
      <c r="AQ13" s="1"/>
      <c r="AR13" s="1"/>
      <c r="AS13" s="1"/>
      <c r="AT13" s="1"/>
      <c r="AU13" s="1"/>
    </row>
    <row r="14">
      <c r="A14" s="1"/>
      <c r="B14" s="6">
        <v>10.0</v>
      </c>
      <c r="C14" s="6">
        <v>10.0</v>
      </c>
      <c r="D14" s="6">
        <v>10.0</v>
      </c>
      <c r="E14" s="7">
        <v>2.0053</v>
      </c>
      <c r="F14" s="91">
        <v>2.7</v>
      </c>
      <c r="G14" s="9">
        <v>0.8</v>
      </c>
      <c r="H14" s="10">
        <f t="shared" si="1"/>
        <v>-1.606791417</v>
      </c>
      <c r="I14" s="11">
        <f t="shared" si="2"/>
        <v>0.20053</v>
      </c>
      <c r="J14" s="5"/>
      <c r="K14" s="1"/>
      <c r="L14" s="1"/>
      <c r="M14" s="1"/>
      <c r="N14" s="1"/>
      <c r="O14" s="1"/>
      <c r="P14" s="1"/>
      <c r="Q14" s="6">
        <v>10.0</v>
      </c>
      <c r="R14" s="6">
        <v>10.0</v>
      </c>
      <c r="S14" s="7">
        <v>15.0</v>
      </c>
      <c r="T14" s="7">
        <v>4.176</v>
      </c>
      <c r="U14" s="7">
        <v>2.7</v>
      </c>
      <c r="V14" s="9">
        <v>0.72</v>
      </c>
      <c r="W14" s="10">
        <f t="shared" si="3"/>
        <v>-1.278696351</v>
      </c>
      <c r="X14" s="11">
        <f t="shared" si="4"/>
        <v>0.2784</v>
      </c>
      <c r="Y14" s="1"/>
      <c r="Z14" s="1"/>
      <c r="AA14" s="1"/>
      <c r="AB14" s="1"/>
      <c r="AC14" s="1"/>
      <c r="AD14" s="1"/>
      <c r="AE14" s="1"/>
      <c r="AF14" s="6">
        <v>10.0</v>
      </c>
      <c r="AG14" s="6">
        <v>10.0</v>
      </c>
      <c r="AH14" s="7">
        <v>20.0</v>
      </c>
      <c r="AI14" s="7">
        <v>11.728</v>
      </c>
      <c r="AJ14" s="7">
        <v>2.7</v>
      </c>
      <c r="AK14" s="9">
        <v>0.41</v>
      </c>
      <c r="AL14" s="10">
        <f t="shared" si="5"/>
        <v>-0.5337531284</v>
      </c>
      <c r="AM14" s="11">
        <f t="shared" si="6"/>
        <v>0.5864</v>
      </c>
      <c r="AN14" s="1"/>
      <c r="AO14" s="1"/>
      <c r="AP14" s="1"/>
      <c r="AQ14" s="1"/>
      <c r="AR14" s="1"/>
      <c r="AS14" s="1"/>
      <c r="AT14" s="1"/>
      <c r="AU14" s="1"/>
    </row>
    <row r="15">
      <c r="A15" s="1"/>
      <c r="B15" s="6">
        <v>11.0</v>
      </c>
      <c r="C15" s="6">
        <v>11.0</v>
      </c>
      <c r="D15" s="6">
        <v>10.0</v>
      </c>
      <c r="E15" s="7">
        <v>3.4663</v>
      </c>
      <c r="F15" s="91">
        <v>2.97</v>
      </c>
      <c r="G15" s="9">
        <v>0.65</v>
      </c>
      <c r="H15" s="10">
        <f t="shared" si="1"/>
        <v>-1.05949735</v>
      </c>
      <c r="I15" s="11">
        <f t="shared" si="2"/>
        <v>0.34663</v>
      </c>
      <c r="J15" s="5"/>
      <c r="K15" s="1"/>
      <c r="L15" s="1"/>
      <c r="M15" s="1"/>
      <c r="N15" s="1"/>
      <c r="O15" s="1"/>
      <c r="P15" s="1"/>
      <c r="Q15" s="6">
        <v>11.0</v>
      </c>
      <c r="R15" s="6">
        <v>11.0</v>
      </c>
      <c r="S15" s="7">
        <v>15.0</v>
      </c>
      <c r="T15" s="7">
        <v>6.18</v>
      </c>
      <c r="U15" s="7">
        <v>2.97</v>
      </c>
      <c r="V15" s="9">
        <v>0.59</v>
      </c>
      <c r="W15" s="10">
        <f t="shared" si="3"/>
        <v>-0.8867319296</v>
      </c>
      <c r="X15" s="11">
        <f t="shared" si="4"/>
        <v>0.412</v>
      </c>
      <c r="Y15" s="1"/>
      <c r="Z15" s="1"/>
      <c r="AA15" s="1"/>
      <c r="AB15" s="1"/>
      <c r="AC15" s="1"/>
      <c r="AD15" s="1"/>
      <c r="AE15" s="1"/>
      <c r="AF15" s="6">
        <v>11.0</v>
      </c>
      <c r="AG15" s="6">
        <v>11.0</v>
      </c>
      <c r="AH15" s="7">
        <v>20.0</v>
      </c>
      <c r="AI15" s="7">
        <v>14.752</v>
      </c>
      <c r="AJ15" s="7">
        <v>2.97</v>
      </c>
      <c r="AK15" s="9">
        <v>0.26</v>
      </c>
      <c r="AL15" s="10">
        <f t="shared" si="5"/>
        <v>-0.3043536067</v>
      </c>
      <c r="AM15" s="11">
        <f t="shared" si="6"/>
        <v>0.7376</v>
      </c>
      <c r="AN15" s="1"/>
      <c r="AO15" s="1"/>
      <c r="AP15" s="1"/>
      <c r="AQ15" s="1"/>
      <c r="AR15" s="1"/>
      <c r="AS15" s="1"/>
      <c r="AT15" s="1"/>
      <c r="AU15" s="1"/>
    </row>
    <row r="16">
      <c r="A16" s="1"/>
      <c r="B16" s="6">
        <v>12.0</v>
      </c>
      <c r="C16" s="6">
        <v>12.0</v>
      </c>
      <c r="D16" s="6">
        <v>10.0</v>
      </c>
      <c r="E16" s="7">
        <v>3.1463</v>
      </c>
      <c r="F16" s="91">
        <v>3.24</v>
      </c>
      <c r="G16" s="9">
        <v>0.69</v>
      </c>
      <c r="H16" s="10">
        <f t="shared" si="1"/>
        <v>-1.156357934</v>
      </c>
      <c r="I16" s="11">
        <f t="shared" si="2"/>
        <v>0.31463</v>
      </c>
      <c r="J16" s="5"/>
      <c r="K16" s="1"/>
      <c r="L16" s="1"/>
      <c r="M16" s="1"/>
      <c r="N16" s="1"/>
      <c r="O16" s="1"/>
      <c r="P16" s="1"/>
      <c r="Q16" s="6">
        <v>12.0</v>
      </c>
      <c r="R16" s="6">
        <v>12.0</v>
      </c>
      <c r="S16" s="7">
        <v>15.0</v>
      </c>
      <c r="T16" s="7">
        <v>7.33</v>
      </c>
      <c r="U16" s="7">
        <v>3.24</v>
      </c>
      <c r="V16" s="9">
        <v>0.51</v>
      </c>
      <c r="W16" s="10">
        <f t="shared" si="3"/>
        <v>-0.7160746852</v>
      </c>
      <c r="X16" s="11">
        <f t="shared" si="4"/>
        <v>0.4886666667</v>
      </c>
      <c r="Y16" s="1"/>
      <c r="Z16" s="1"/>
      <c r="AA16" s="1"/>
      <c r="AB16" s="1"/>
      <c r="AC16" s="1"/>
      <c r="AD16" s="1"/>
      <c r="AE16" s="1"/>
      <c r="AF16" s="6">
        <v>12.0</v>
      </c>
      <c r="AG16" s="6">
        <v>12.0</v>
      </c>
      <c r="AH16" s="7">
        <v>20.0</v>
      </c>
      <c r="AI16" s="7">
        <v>18.216</v>
      </c>
      <c r="AJ16" s="7">
        <v>3.24</v>
      </c>
      <c r="AK16" s="9">
        <v>0.09</v>
      </c>
      <c r="AL16" s="10">
        <f t="shared" si="5"/>
        <v>-0.09343194479</v>
      </c>
      <c r="AM16" s="11">
        <f t="shared" si="6"/>
        <v>0.9108</v>
      </c>
      <c r="AN16" s="1"/>
      <c r="AO16" s="1"/>
      <c r="AP16" s="1"/>
      <c r="AQ16" s="1"/>
      <c r="AR16" s="1"/>
      <c r="AS16" s="1"/>
      <c r="AT16" s="1"/>
      <c r="AU16" s="1"/>
    </row>
    <row r="17">
      <c r="A17" s="1"/>
      <c r="B17" s="6">
        <v>13.0</v>
      </c>
      <c r="C17" s="6">
        <v>13.0</v>
      </c>
      <c r="D17" s="6">
        <v>10.0</v>
      </c>
      <c r="E17" s="7">
        <v>3.2019</v>
      </c>
      <c r="F17" s="91">
        <v>3.51</v>
      </c>
      <c r="G17" s="9">
        <v>0.68</v>
      </c>
      <c r="H17" s="10">
        <f t="shared" si="1"/>
        <v>-1.138840709</v>
      </c>
      <c r="I17" s="11">
        <f t="shared" si="2"/>
        <v>0.32019</v>
      </c>
      <c r="J17" s="5"/>
      <c r="K17" s="1"/>
      <c r="L17" s="1"/>
      <c r="M17" s="1"/>
      <c r="N17" s="1"/>
      <c r="O17" s="1"/>
      <c r="P17" s="1"/>
      <c r="Q17" s="6">
        <v>13.0</v>
      </c>
      <c r="R17" s="6">
        <v>13.0</v>
      </c>
      <c r="S17" s="7">
        <v>15.0</v>
      </c>
      <c r="T17" s="7">
        <v>8.796</v>
      </c>
      <c r="U17" s="7">
        <v>3.51</v>
      </c>
      <c r="V17" s="9">
        <v>0.41</v>
      </c>
      <c r="W17" s="10">
        <f t="shared" si="3"/>
        <v>-0.5337531284</v>
      </c>
      <c r="X17" s="11">
        <f t="shared" si="4"/>
        <v>0.5864</v>
      </c>
      <c r="Y17" s="1"/>
      <c r="Z17" s="1"/>
      <c r="AA17" s="1"/>
      <c r="AB17" s="1"/>
      <c r="AC17" s="1"/>
      <c r="AD17" s="1"/>
      <c r="AE17" s="1"/>
      <c r="AF17" s="6">
        <v>13.0</v>
      </c>
      <c r="AG17" s="6">
        <v>13.0</v>
      </c>
      <c r="AH17" s="7">
        <v>20.0</v>
      </c>
      <c r="AI17" s="7">
        <v>18.957</v>
      </c>
      <c r="AJ17" s="7">
        <v>3.51</v>
      </c>
      <c r="AK17" s="9">
        <v>0.05</v>
      </c>
      <c r="AL17" s="10">
        <f t="shared" si="5"/>
        <v>-0.05355901709</v>
      </c>
      <c r="AM17" s="11">
        <f t="shared" si="6"/>
        <v>0.94785</v>
      </c>
      <c r="AN17" s="1"/>
      <c r="AO17" s="1"/>
      <c r="AP17" s="1"/>
      <c r="AQ17" s="1"/>
      <c r="AR17" s="1"/>
      <c r="AS17" s="1"/>
      <c r="AT17" s="1"/>
      <c r="AU17" s="1"/>
    </row>
    <row r="18">
      <c r="A18" s="1"/>
      <c r="B18" s="6">
        <v>14.0</v>
      </c>
      <c r="C18" s="6">
        <v>14.0</v>
      </c>
      <c r="D18" s="6">
        <v>10.0</v>
      </c>
      <c r="E18" s="7">
        <v>5.1916</v>
      </c>
      <c r="F18" s="91">
        <v>3.78</v>
      </c>
      <c r="G18" s="9">
        <v>0.48</v>
      </c>
      <c r="H18" s="10">
        <f t="shared" si="1"/>
        <v>-0.6555431582</v>
      </c>
      <c r="I18" s="11">
        <f t="shared" si="2"/>
        <v>0.51916</v>
      </c>
      <c r="J18" s="5"/>
      <c r="K18" s="1"/>
      <c r="L18" s="1"/>
      <c r="M18" s="1"/>
      <c r="N18" s="1"/>
      <c r="O18" s="1"/>
      <c r="P18" s="1"/>
      <c r="Q18" s="6">
        <v>14.0</v>
      </c>
      <c r="R18" s="6">
        <v>14.0</v>
      </c>
      <c r="S18" s="7">
        <v>15.0</v>
      </c>
      <c r="T18" s="7">
        <v>11.064</v>
      </c>
      <c r="U18" s="7">
        <v>3.78</v>
      </c>
      <c r="V18" s="9">
        <v>0.26</v>
      </c>
      <c r="W18" s="10">
        <f t="shared" si="3"/>
        <v>-0.3043536067</v>
      </c>
      <c r="X18" s="11">
        <f t="shared" si="4"/>
        <v>0.7376</v>
      </c>
      <c r="Y18" s="1"/>
      <c r="Z18" s="1"/>
      <c r="AA18" s="1"/>
      <c r="AB18" s="1"/>
      <c r="AC18" s="1"/>
      <c r="AD18" s="1"/>
      <c r="AE18" s="1"/>
      <c r="AF18" s="18">
        <v>14.0</v>
      </c>
      <c r="AG18" s="18">
        <v>14.0</v>
      </c>
      <c r="AH18" s="19">
        <v>20.0</v>
      </c>
      <c r="AI18" s="19">
        <v>19.175</v>
      </c>
      <c r="AJ18" s="19">
        <v>3.78</v>
      </c>
      <c r="AK18" s="21">
        <v>0.04</v>
      </c>
      <c r="AL18" s="10">
        <f t="shared" si="5"/>
        <v>-0.0421249263</v>
      </c>
      <c r="AM18" s="11">
        <f t="shared" si="6"/>
        <v>0.95875</v>
      </c>
      <c r="AN18" s="1"/>
      <c r="AO18" s="1"/>
      <c r="AP18" s="1"/>
      <c r="AQ18" s="1"/>
      <c r="AR18" s="1"/>
      <c r="AS18" s="1"/>
      <c r="AT18" s="1"/>
      <c r="AU18" s="1"/>
    </row>
    <row r="19">
      <c r="A19" s="1"/>
      <c r="B19" s="6">
        <v>15.0</v>
      </c>
      <c r="C19" s="6">
        <v>15.0</v>
      </c>
      <c r="D19" s="6">
        <v>10.0</v>
      </c>
      <c r="E19" s="7">
        <v>6.1934</v>
      </c>
      <c r="F19" s="91">
        <v>4.05</v>
      </c>
      <c r="G19" s="9">
        <v>0.38</v>
      </c>
      <c r="H19" s="10">
        <f t="shared" si="1"/>
        <v>-0.4791008841</v>
      </c>
      <c r="I19" s="11">
        <f t="shared" si="2"/>
        <v>0.61934</v>
      </c>
      <c r="J19" s="5"/>
      <c r="K19" s="1"/>
      <c r="L19" s="1"/>
      <c r="M19" s="1"/>
      <c r="N19" s="1"/>
      <c r="O19" s="1"/>
      <c r="P19" s="1"/>
      <c r="Q19" s="6">
        <v>15.0</v>
      </c>
      <c r="R19" s="6">
        <v>15.0</v>
      </c>
      <c r="S19" s="7">
        <v>15.0</v>
      </c>
      <c r="T19" s="7">
        <v>13.662</v>
      </c>
      <c r="U19" s="7">
        <v>4.05</v>
      </c>
      <c r="V19" s="9">
        <v>0.09</v>
      </c>
      <c r="W19" s="10">
        <f t="shared" si="3"/>
        <v>-0.09343194479</v>
      </c>
      <c r="X19" s="11">
        <f t="shared" si="4"/>
        <v>0.9108</v>
      </c>
      <c r="Y19" s="1"/>
      <c r="Z19" s="1"/>
      <c r="AA19" s="1"/>
      <c r="AB19" s="1"/>
      <c r="AC19" s="1"/>
      <c r="AD19" s="1"/>
      <c r="AE19" s="1"/>
      <c r="AF19" s="24" t="s">
        <v>13</v>
      </c>
      <c r="AL19" s="80"/>
      <c r="AM19" s="80"/>
      <c r="AN19" s="1"/>
      <c r="AO19" s="1"/>
      <c r="AP19" s="1"/>
      <c r="AQ19" s="1"/>
      <c r="AR19" s="1"/>
      <c r="AS19" s="1"/>
      <c r="AT19" s="1"/>
      <c r="AU19" s="1"/>
    </row>
    <row r="20">
      <c r="A20" s="1"/>
      <c r="B20" s="6">
        <v>16.0</v>
      </c>
      <c r="C20" s="6">
        <v>16.0</v>
      </c>
      <c r="D20" s="6">
        <v>10.0</v>
      </c>
      <c r="E20" s="7">
        <v>6.9031</v>
      </c>
      <c r="F20" s="91">
        <v>4.32</v>
      </c>
      <c r="G20" s="9">
        <v>0.31</v>
      </c>
      <c r="H20" s="10">
        <f t="shared" si="1"/>
        <v>-0.3706145069</v>
      </c>
      <c r="I20" s="11">
        <f t="shared" si="2"/>
        <v>0.69031</v>
      </c>
      <c r="J20" s="5"/>
      <c r="K20" s="1"/>
      <c r="L20" s="1"/>
      <c r="M20" s="1"/>
      <c r="N20" s="1"/>
      <c r="O20" s="1"/>
      <c r="P20" s="1"/>
      <c r="Q20" s="6">
        <v>16.0</v>
      </c>
      <c r="R20" s="6">
        <v>16.0</v>
      </c>
      <c r="S20" s="7">
        <v>15.0</v>
      </c>
      <c r="T20" s="7">
        <v>14.218</v>
      </c>
      <c r="U20" s="7">
        <v>4.32</v>
      </c>
      <c r="V20" s="9">
        <v>0.05</v>
      </c>
      <c r="W20" s="10">
        <f t="shared" si="3"/>
        <v>-0.05354143359</v>
      </c>
      <c r="X20" s="11">
        <f t="shared" si="4"/>
        <v>0.9478666667</v>
      </c>
      <c r="Y20" s="1"/>
      <c r="Z20" s="1"/>
      <c r="AA20" s="1"/>
      <c r="AB20" s="1"/>
      <c r="AC20" s="1"/>
      <c r="AD20" s="1"/>
      <c r="AE20" s="1"/>
      <c r="AF20" s="25" t="s">
        <v>14</v>
      </c>
      <c r="AL20" s="80"/>
      <c r="AM20" s="80"/>
      <c r="AN20" s="1"/>
      <c r="AO20" s="1"/>
      <c r="AP20" s="1"/>
      <c r="AQ20" s="1"/>
      <c r="AR20" s="1"/>
      <c r="AS20" s="1"/>
      <c r="AT20" s="1"/>
      <c r="AU20" s="1"/>
    </row>
    <row r="21">
      <c r="A21" s="1"/>
      <c r="B21" s="6">
        <v>17.0</v>
      </c>
      <c r="C21" s="6">
        <v>17.0</v>
      </c>
      <c r="D21" s="6">
        <v>10.0</v>
      </c>
      <c r="E21" s="7">
        <v>8.0997</v>
      </c>
      <c r="F21" s="91">
        <v>4.59</v>
      </c>
      <c r="G21" s="9">
        <v>0.19</v>
      </c>
      <c r="H21" s="10">
        <f t="shared" si="1"/>
        <v>-0.210758069</v>
      </c>
      <c r="I21" s="11">
        <f t="shared" si="2"/>
        <v>0.80997</v>
      </c>
      <c r="J21" s="5"/>
      <c r="K21" s="1"/>
      <c r="L21" s="1"/>
      <c r="M21" s="1"/>
      <c r="N21" s="1"/>
      <c r="O21" s="1"/>
      <c r="P21" s="1"/>
      <c r="Q21" s="6">
        <v>17.0</v>
      </c>
      <c r="R21" s="6">
        <v>17.0</v>
      </c>
      <c r="S21" s="7">
        <v>15.0</v>
      </c>
      <c r="T21" s="7">
        <v>14.056</v>
      </c>
      <c r="U21" s="7">
        <v>4.59</v>
      </c>
      <c r="V21" s="9">
        <v>0.06</v>
      </c>
      <c r="W21" s="10">
        <f t="shared" si="3"/>
        <v>-0.06500085022</v>
      </c>
      <c r="X21" s="11">
        <f t="shared" si="4"/>
        <v>0.9370666667</v>
      </c>
      <c r="Y21" s="1"/>
      <c r="Z21" s="1"/>
      <c r="AA21" s="1"/>
      <c r="AB21" s="1"/>
      <c r="AC21" s="1"/>
      <c r="AD21" s="1"/>
      <c r="AE21" s="1"/>
      <c r="AF21" s="25" t="s">
        <v>14</v>
      </c>
      <c r="AL21" s="80"/>
      <c r="AM21" s="80"/>
      <c r="AN21" s="1"/>
      <c r="AO21" s="1"/>
      <c r="AP21" s="1"/>
      <c r="AQ21" s="1"/>
      <c r="AR21" s="1"/>
      <c r="AS21" s="1"/>
      <c r="AT21" s="1"/>
      <c r="AU21" s="1"/>
    </row>
    <row r="22">
      <c r="A22" s="1"/>
      <c r="B22" s="6">
        <v>18.0</v>
      </c>
      <c r="C22" s="6">
        <v>18.0</v>
      </c>
      <c r="D22" s="6">
        <v>10.0</v>
      </c>
      <c r="E22" s="7">
        <v>8.5449</v>
      </c>
      <c r="F22" s="91">
        <v>4.86</v>
      </c>
      <c r="G22" s="9">
        <v>0.15</v>
      </c>
      <c r="H22" s="10">
        <f t="shared" si="1"/>
        <v>-0.1572504792</v>
      </c>
      <c r="I22" s="11">
        <f t="shared" si="2"/>
        <v>0.85449</v>
      </c>
      <c r="J22" s="5"/>
      <c r="K22" s="1"/>
      <c r="L22" s="1"/>
      <c r="M22" s="1"/>
      <c r="N22" s="1"/>
      <c r="O22" s="1"/>
      <c r="P22" s="1"/>
      <c r="Q22" s="18">
        <v>18.0</v>
      </c>
      <c r="R22" s="18">
        <v>18.0</v>
      </c>
      <c r="S22" s="19">
        <v>15.0</v>
      </c>
      <c r="T22" s="19">
        <v>14.381</v>
      </c>
      <c r="U22" s="19">
        <v>4.86</v>
      </c>
      <c r="V22" s="21">
        <v>0.04</v>
      </c>
      <c r="W22" s="10">
        <f t="shared" si="3"/>
        <v>-0.0421423102</v>
      </c>
      <c r="X22" s="11">
        <f t="shared" si="4"/>
        <v>0.9587333333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>
      <c r="A23" s="1"/>
      <c r="B23" s="6">
        <v>19.0</v>
      </c>
      <c r="C23" s="6">
        <v>19.0</v>
      </c>
      <c r="D23" s="6">
        <v>10.0</v>
      </c>
      <c r="E23" s="7">
        <v>9.5189</v>
      </c>
      <c r="F23" s="91">
        <v>5.13</v>
      </c>
      <c r="G23" s="9">
        <v>0.05</v>
      </c>
      <c r="H23" s="10">
        <f t="shared" si="1"/>
        <v>-0.04930579709</v>
      </c>
      <c r="I23" s="11">
        <f t="shared" si="2"/>
        <v>0.95189</v>
      </c>
      <c r="J23" s="5"/>
      <c r="K23" s="1"/>
      <c r="L23" s="1"/>
      <c r="M23" s="1"/>
      <c r="N23" s="1"/>
      <c r="O23" s="1"/>
      <c r="P23" s="1"/>
      <c r="Q23" s="24" t="s">
        <v>13</v>
      </c>
      <c r="W23" s="80"/>
      <c r="X23" s="8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>
      <c r="A24" s="1"/>
      <c r="B24" s="6">
        <v>20.0</v>
      </c>
      <c r="C24" s="6">
        <v>20.0</v>
      </c>
      <c r="D24" s="6">
        <v>10.0</v>
      </c>
      <c r="E24" s="7">
        <v>9.6024</v>
      </c>
      <c r="F24" s="91">
        <v>5.4</v>
      </c>
      <c r="G24" s="9">
        <v>0.04</v>
      </c>
      <c r="H24" s="10">
        <f t="shared" si="1"/>
        <v>-0.04057202577</v>
      </c>
      <c r="I24" s="11">
        <f t="shared" si="2"/>
        <v>0.96024</v>
      </c>
      <c r="J24" s="5"/>
      <c r="K24" s="1"/>
      <c r="L24" s="1"/>
      <c r="M24" s="1"/>
      <c r="N24" s="1"/>
      <c r="O24" s="1"/>
      <c r="P24" s="1"/>
      <c r="Q24" s="25" t="s">
        <v>14</v>
      </c>
      <c r="W24" s="80"/>
      <c r="X24" s="8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>
      <c r="A25" s="1"/>
      <c r="B25" s="6">
        <v>21.0</v>
      </c>
      <c r="C25" s="6">
        <v>21.0</v>
      </c>
      <c r="D25" s="6">
        <v>10.0</v>
      </c>
      <c r="E25" s="7">
        <v>9.2545</v>
      </c>
      <c r="F25" s="91">
        <v>5.67</v>
      </c>
      <c r="G25" s="9">
        <v>0.07</v>
      </c>
      <c r="H25" s="10">
        <f t="shared" si="1"/>
        <v>-0.07747517328</v>
      </c>
      <c r="I25" s="11">
        <f t="shared" si="2"/>
        <v>0.92545</v>
      </c>
      <c r="J25" s="5"/>
      <c r="K25" s="1"/>
      <c r="L25" s="1"/>
      <c r="M25" s="1"/>
      <c r="N25" s="1"/>
      <c r="O25" s="1"/>
      <c r="P25" s="1"/>
      <c r="Q25" s="25" t="s">
        <v>14</v>
      </c>
      <c r="W25" s="80"/>
      <c r="X25" s="8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>
      <c r="A26" s="1"/>
      <c r="B26" s="18">
        <v>22.0</v>
      </c>
      <c r="C26" s="18">
        <v>22.0</v>
      </c>
      <c r="D26" s="18">
        <v>10.0</v>
      </c>
      <c r="E26" s="19">
        <v>9.4911</v>
      </c>
      <c r="F26" s="93">
        <v>5.94</v>
      </c>
      <c r="G26" s="21">
        <v>0.05</v>
      </c>
      <c r="H26" s="22">
        <f t="shared" si="1"/>
        <v>-0.0522305756</v>
      </c>
      <c r="I26" s="23">
        <f t="shared" si="2"/>
        <v>0.94911</v>
      </c>
      <c r="J26" s="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>
      <c r="A27" s="1"/>
      <c r="B27" s="94" t="s">
        <v>13</v>
      </c>
      <c r="H27" s="1"/>
      <c r="I27" s="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>
      <c r="A28" s="1"/>
      <c r="B28" s="95" t="s">
        <v>14</v>
      </c>
      <c r="H28" s="1"/>
      <c r="I28" s="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>
      <c r="A31" s="1"/>
      <c r="B31" s="26"/>
      <c r="P31" s="1"/>
      <c r="Q31" s="26"/>
      <c r="AE31" s="26"/>
      <c r="AF31" s="26"/>
      <c r="AT31" s="26"/>
      <c r="AU31" s="26"/>
    </row>
    <row r="32">
      <c r="A32" s="1"/>
      <c r="B32" s="34" t="s">
        <v>2</v>
      </c>
      <c r="C32" s="34" t="s">
        <v>16</v>
      </c>
      <c r="D32" s="28" t="s">
        <v>17</v>
      </c>
      <c r="E32" s="28" t="s">
        <v>17</v>
      </c>
      <c r="F32" s="28" t="s">
        <v>17</v>
      </c>
      <c r="G32" s="34" t="s">
        <v>29</v>
      </c>
      <c r="H32" s="34" t="s">
        <v>30</v>
      </c>
      <c r="I32" s="34" t="s">
        <v>31</v>
      </c>
      <c r="J32" s="34" t="s">
        <v>19</v>
      </c>
      <c r="K32" s="41" t="s">
        <v>32</v>
      </c>
      <c r="L32" s="3" t="s">
        <v>56</v>
      </c>
      <c r="M32" s="3" t="s">
        <v>22</v>
      </c>
      <c r="N32" s="3" t="s">
        <v>57</v>
      </c>
      <c r="O32" s="3" t="s">
        <v>24</v>
      </c>
      <c r="P32" s="1"/>
      <c r="Q32" s="57" t="s">
        <v>2</v>
      </c>
      <c r="R32" s="57" t="s">
        <v>16</v>
      </c>
      <c r="S32" s="53" t="s">
        <v>17</v>
      </c>
      <c r="T32" s="53" t="s">
        <v>17</v>
      </c>
      <c r="U32" s="53" t="s">
        <v>17</v>
      </c>
      <c r="V32" s="57" t="s">
        <v>29</v>
      </c>
      <c r="W32" s="57" t="s">
        <v>30</v>
      </c>
      <c r="X32" s="57" t="s">
        <v>31</v>
      </c>
      <c r="Y32" s="57" t="s">
        <v>19</v>
      </c>
      <c r="Z32" s="61" t="s">
        <v>32</v>
      </c>
      <c r="AA32" s="50" t="s">
        <v>56</v>
      </c>
      <c r="AB32" s="50" t="s">
        <v>22</v>
      </c>
      <c r="AC32" s="50" t="s">
        <v>57</v>
      </c>
      <c r="AD32" s="50" t="s">
        <v>24</v>
      </c>
      <c r="AE32" s="2"/>
      <c r="AF32" s="72" t="s">
        <v>2</v>
      </c>
      <c r="AG32" s="72" t="s">
        <v>16</v>
      </c>
      <c r="AH32" s="68" t="s">
        <v>17</v>
      </c>
      <c r="AI32" s="68" t="s">
        <v>17</v>
      </c>
      <c r="AJ32" s="68" t="s">
        <v>17</v>
      </c>
      <c r="AK32" s="72" t="s">
        <v>29</v>
      </c>
      <c r="AL32" s="72" t="s">
        <v>30</v>
      </c>
      <c r="AM32" s="72" t="s">
        <v>31</v>
      </c>
      <c r="AN32" s="72" t="s">
        <v>19</v>
      </c>
      <c r="AO32" s="76" t="s">
        <v>32</v>
      </c>
      <c r="AP32" s="65" t="s">
        <v>56</v>
      </c>
      <c r="AQ32" s="65" t="s">
        <v>22</v>
      </c>
      <c r="AR32" s="65" t="s">
        <v>57</v>
      </c>
      <c r="AS32" s="65" t="s">
        <v>24</v>
      </c>
      <c r="AT32" s="2"/>
      <c r="AU32" s="2"/>
    </row>
    <row r="33">
      <c r="A33" s="1"/>
      <c r="B33" s="42" t="s">
        <v>10</v>
      </c>
      <c r="C33" s="30" t="s">
        <v>25</v>
      </c>
      <c r="D33" s="42" t="s">
        <v>34</v>
      </c>
      <c r="E33" s="42" t="s">
        <v>35</v>
      </c>
      <c r="F33" s="30" t="s">
        <v>26</v>
      </c>
      <c r="G33" s="42" t="s">
        <v>36</v>
      </c>
      <c r="H33" s="42" t="s">
        <v>37</v>
      </c>
      <c r="I33" s="42" t="s">
        <v>38</v>
      </c>
      <c r="J33" s="30"/>
      <c r="K33" s="43"/>
      <c r="L33" s="4" t="s">
        <v>58</v>
      </c>
      <c r="M33" s="4" t="s">
        <v>10</v>
      </c>
      <c r="N33" s="4" t="s">
        <v>10</v>
      </c>
      <c r="O33" s="4"/>
      <c r="P33" s="1"/>
      <c r="Q33" s="62" t="s">
        <v>10</v>
      </c>
      <c r="R33" s="55" t="s">
        <v>25</v>
      </c>
      <c r="S33" s="62" t="s">
        <v>34</v>
      </c>
      <c r="T33" s="62" t="s">
        <v>35</v>
      </c>
      <c r="U33" s="55" t="s">
        <v>26</v>
      </c>
      <c r="V33" s="62" t="s">
        <v>36</v>
      </c>
      <c r="W33" s="62" t="s">
        <v>37</v>
      </c>
      <c r="X33" s="62" t="s">
        <v>38</v>
      </c>
      <c r="Y33" s="55"/>
      <c r="Z33" s="63"/>
      <c r="AA33" s="51" t="s">
        <v>58</v>
      </c>
      <c r="AB33" s="51" t="s">
        <v>10</v>
      </c>
      <c r="AC33" s="51" t="s">
        <v>10</v>
      </c>
      <c r="AD33" s="51"/>
      <c r="AE33" s="5"/>
      <c r="AF33" s="96" t="s">
        <v>10</v>
      </c>
      <c r="AG33" s="70" t="s">
        <v>25</v>
      </c>
      <c r="AH33" s="77" t="s">
        <v>34</v>
      </c>
      <c r="AI33" s="77" t="s">
        <v>35</v>
      </c>
      <c r="AJ33" s="70" t="s">
        <v>26</v>
      </c>
      <c r="AK33" s="77" t="s">
        <v>36</v>
      </c>
      <c r="AL33" s="77" t="s">
        <v>37</v>
      </c>
      <c r="AM33" s="77" t="s">
        <v>38</v>
      </c>
      <c r="AN33" s="70"/>
      <c r="AO33" s="78"/>
      <c r="AP33" s="66" t="s">
        <v>58</v>
      </c>
      <c r="AQ33" s="66" t="s">
        <v>10</v>
      </c>
      <c r="AR33" s="66" t="s">
        <v>10</v>
      </c>
      <c r="AS33" s="66"/>
      <c r="AT33" s="5"/>
      <c r="AU33" s="5"/>
    </row>
    <row r="34">
      <c r="A34" s="1"/>
      <c r="B34" s="45">
        <v>1.0</v>
      </c>
      <c r="C34" s="32">
        <v>20.0</v>
      </c>
      <c r="D34" s="45">
        <v>4.5</v>
      </c>
      <c r="E34" s="32">
        <f t="shared" ref="E34:E55" si="7">D34*60</f>
        <v>270</v>
      </c>
      <c r="F34" s="32">
        <f t="shared" ref="F34:F55" si="8">E34/1000</f>
        <v>0.27</v>
      </c>
      <c r="G34" s="32">
        <f t="shared" ref="G34:G55" si="9">(1/4)*3.14*3^2</f>
        <v>7.065</v>
      </c>
      <c r="H34" s="46">
        <f t="shared" ref="H34:H55" si="10">E34/G34</f>
        <v>38.21656051</v>
      </c>
      <c r="I34" s="32">
        <f t="shared" ref="I34:I55" si="11">D5</f>
        <v>10</v>
      </c>
      <c r="J34" s="45">
        <v>0.3795</v>
      </c>
      <c r="K34" s="84">
        <v>-5.1387</v>
      </c>
      <c r="L34" s="88">
        <f t="shared" ref="L34:L55" si="12">J34</f>
        <v>0.3795</v>
      </c>
      <c r="M34" s="10">
        <f t="shared" ref="M34:M55" si="13">ABS(K34/L34)</f>
        <v>13.54071146</v>
      </c>
      <c r="N34" s="10">
        <f t="shared" ref="N34:N55" si="14">_xlfn.FORECAST.LINEAR(0.5,$B$34:$B$55,$I$5:$I$26)</f>
        <v>13.12892828</v>
      </c>
      <c r="O34" s="6">
        <v>0.9666</v>
      </c>
      <c r="P34" s="1"/>
      <c r="Q34" s="45">
        <v>1.0</v>
      </c>
      <c r="R34" s="32">
        <v>20.0</v>
      </c>
      <c r="S34" s="45">
        <v>4.5</v>
      </c>
      <c r="T34" s="32">
        <f t="shared" ref="T34:T51" si="15">S34*60</f>
        <v>270</v>
      </c>
      <c r="U34" s="32">
        <f t="shared" ref="U34:U51" si="16">T34/1000</f>
        <v>0.27</v>
      </c>
      <c r="V34" s="32">
        <f t="shared" ref="V34:V51" si="17">(1/4)*3.14*3^2</f>
        <v>7.065</v>
      </c>
      <c r="W34" s="46">
        <f t="shared" ref="W34:W51" si="18">T34/V34</f>
        <v>38.21656051</v>
      </c>
      <c r="X34" s="32">
        <f t="shared" ref="X34:X51" si="19">S5</f>
        <v>15</v>
      </c>
      <c r="Y34" s="45">
        <v>0.4405</v>
      </c>
      <c r="Z34" s="84">
        <v>-4.9159</v>
      </c>
      <c r="AA34" s="88">
        <f t="shared" ref="AA34:AA51" si="20">Y34</f>
        <v>0.4405</v>
      </c>
      <c r="AB34" s="10">
        <f t="shared" ref="AB34:AB51" si="21">ABS(Z34/AA34)</f>
        <v>11.15981839</v>
      </c>
      <c r="AC34" s="10">
        <f t="shared" ref="AC34:AC51" si="22">_xlfn.FORECAST.LINEAR(0.5,$B$34:$B$55,$X$5:$X$26)</f>
        <v>11.01417833</v>
      </c>
      <c r="AD34" s="6">
        <v>0.9707</v>
      </c>
      <c r="AE34" s="5"/>
      <c r="AF34" s="6">
        <v>1.0</v>
      </c>
      <c r="AG34" s="97">
        <v>20.0</v>
      </c>
      <c r="AH34" s="45">
        <v>4.5</v>
      </c>
      <c r="AI34" s="45">
        <f t="shared" ref="AI34:AI55" si="23">AH34*60</f>
        <v>270</v>
      </c>
      <c r="AJ34" s="32">
        <f t="shared" ref="AJ34:AJ55" si="24">AI34/1000</f>
        <v>0.27</v>
      </c>
      <c r="AK34" s="32">
        <f t="shared" ref="AK34:AK55" si="25">(1/4)*3.14*3^2</f>
        <v>7.065</v>
      </c>
      <c r="AL34" s="46">
        <f t="shared" ref="AL34:AL55" si="26">AI34/AK34</f>
        <v>38.21656051</v>
      </c>
      <c r="AM34" s="98">
        <f t="shared" ref="AM34:AM55" si="27">AH5</f>
        <v>20</v>
      </c>
      <c r="AN34" s="45">
        <v>0.3795</v>
      </c>
      <c r="AO34" s="45">
        <v>-5.1387</v>
      </c>
      <c r="AP34" s="84">
        <f t="shared" ref="AP34:AP55" si="28">AN34</f>
        <v>0.3795</v>
      </c>
      <c r="AQ34" s="10">
        <f t="shared" ref="AQ34:AQ55" si="29">ABS(AO34/AP34)</f>
        <v>13.54071146</v>
      </c>
      <c r="AR34" s="10">
        <f t="shared" ref="AR34:AR55" si="30">_xlfn.FORECAST.LINEAR(0.5,$B$34:$B$55,$I$5:$I$26)</f>
        <v>13.12892828</v>
      </c>
      <c r="AS34" s="11">
        <v>0.9666</v>
      </c>
      <c r="AT34" s="5"/>
      <c r="AU34" s="5"/>
    </row>
    <row r="35">
      <c r="A35" s="1"/>
      <c r="B35" s="45">
        <v>2.0</v>
      </c>
      <c r="C35" s="32">
        <v>20.0</v>
      </c>
      <c r="D35" s="45">
        <v>4.5</v>
      </c>
      <c r="E35" s="32">
        <f t="shared" si="7"/>
        <v>270</v>
      </c>
      <c r="F35" s="32">
        <f t="shared" si="8"/>
        <v>0.27</v>
      </c>
      <c r="G35" s="32">
        <f t="shared" si="9"/>
        <v>7.065</v>
      </c>
      <c r="H35" s="46">
        <f t="shared" si="10"/>
        <v>38.21656051</v>
      </c>
      <c r="I35" s="32">
        <f t="shared" si="11"/>
        <v>10</v>
      </c>
      <c r="J35" s="45">
        <v>0.3795</v>
      </c>
      <c r="K35" s="84">
        <v>-5.1387</v>
      </c>
      <c r="L35" s="88">
        <f t="shared" si="12"/>
        <v>0.3795</v>
      </c>
      <c r="M35" s="10">
        <f t="shared" si="13"/>
        <v>13.54071146</v>
      </c>
      <c r="N35" s="10">
        <f t="shared" si="14"/>
        <v>13.12892828</v>
      </c>
      <c r="O35" s="6">
        <v>0.9666</v>
      </c>
      <c r="P35" s="1"/>
      <c r="Q35" s="45">
        <v>2.0</v>
      </c>
      <c r="R35" s="32">
        <v>20.0</v>
      </c>
      <c r="S35" s="45">
        <v>4.5</v>
      </c>
      <c r="T35" s="32">
        <f t="shared" si="15"/>
        <v>270</v>
      </c>
      <c r="U35" s="32">
        <f t="shared" si="16"/>
        <v>0.27</v>
      </c>
      <c r="V35" s="32">
        <f t="shared" si="17"/>
        <v>7.065</v>
      </c>
      <c r="W35" s="46">
        <f t="shared" si="18"/>
        <v>38.21656051</v>
      </c>
      <c r="X35" s="32">
        <f t="shared" si="19"/>
        <v>15</v>
      </c>
      <c r="Y35" s="45">
        <v>0.4405</v>
      </c>
      <c r="Z35" s="84">
        <v>-4.9159</v>
      </c>
      <c r="AA35" s="88">
        <f t="shared" si="20"/>
        <v>0.4405</v>
      </c>
      <c r="AB35" s="10">
        <f t="shared" si="21"/>
        <v>11.15981839</v>
      </c>
      <c r="AC35" s="10">
        <f t="shared" si="22"/>
        <v>11.01417833</v>
      </c>
      <c r="AD35" s="6">
        <v>0.9707</v>
      </c>
      <c r="AE35" s="5"/>
      <c r="AF35" s="99">
        <v>2.0</v>
      </c>
      <c r="AG35" s="32">
        <v>20.0</v>
      </c>
      <c r="AH35" s="45">
        <v>4.5</v>
      </c>
      <c r="AI35" s="32">
        <f t="shared" si="23"/>
        <v>270</v>
      </c>
      <c r="AJ35" s="32">
        <f t="shared" si="24"/>
        <v>0.27</v>
      </c>
      <c r="AK35" s="32">
        <f t="shared" si="25"/>
        <v>7.065</v>
      </c>
      <c r="AL35" s="46">
        <f t="shared" si="26"/>
        <v>38.21656051</v>
      </c>
      <c r="AM35" s="32">
        <f t="shared" si="27"/>
        <v>20</v>
      </c>
      <c r="AN35" s="45">
        <v>0.3795</v>
      </c>
      <c r="AO35" s="84">
        <v>-5.1387</v>
      </c>
      <c r="AP35" s="88">
        <f t="shared" si="28"/>
        <v>0.3795</v>
      </c>
      <c r="AQ35" s="10">
        <f t="shared" si="29"/>
        <v>13.54071146</v>
      </c>
      <c r="AR35" s="10">
        <f t="shared" si="30"/>
        <v>13.12892828</v>
      </c>
      <c r="AS35" s="6">
        <v>0.9666</v>
      </c>
      <c r="AT35" s="5"/>
      <c r="AU35" s="5"/>
    </row>
    <row r="36">
      <c r="A36" s="1"/>
      <c r="B36" s="45">
        <v>3.0</v>
      </c>
      <c r="C36" s="32">
        <v>20.0</v>
      </c>
      <c r="D36" s="45">
        <v>4.5</v>
      </c>
      <c r="E36" s="32">
        <f t="shared" si="7"/>
        <v>270</v>
      </c>
      <c r="F36" s="32">
        <f t="shared" si="8"/>
        <v>0.27</v>
      </c>
      <c r="G36" s="32">
        <f t="shared" si="9"/>
        <v>7.065</v>
      </c>
      <c r="H36" s="46">
        <f t="shared" si="10"/>
        <v>38.21656051</v>
      </c>
      <c r="I36" s="32">
        <f t="shared" si="11"/>
        <v>10</v>
      </c>
      <c r="J36" s="45">
        <v>0.3795</v>
      </c>
      <c r="K36" s="84">
        <v>-5.1387</v>
      </c>
      <c r="L36" s="88">
        <f t="shared" si="12"/>
        <v>0.3795</v>
      </c>
      <c r="M36" s="10">
        <f t="shared" si="13"/>
        <v>13.54071146</v>
      </c>
      <c r="N36" s="10">
        <f t="shared" si="14"/>
        <v>13.12892828</v>
      </c>
      <c r="O36" s="6">
        <v>0.9666</v>
      </c>
      <c r="P36" s="1"/>
      <c r="Q36" s="45">
        <v>3.0</v>
      </c>
      <c r="R36" s="32">
        <v>20.0</v>
      </c>
      <c r="S36" s="45">
        <v>4.5</v>
      </c>
      <c r="T36" s="32">
        <f t="shared" si="15"/>
        <v>270</v>
      </c>
      <c r="U36" s="32">
        <f t="shared" si="16"/>
        <v>0.27</v>
      </c>
      <c r="V36" s="32">
        <f t="shared" si="17"/>
        <v>7.065</v>
      </c>
      <c r="W36" s="46">
        <f t="shared" si="18"/>
        <v>38.21656051</v>
      </c>
      <c r="X36" s="32">
        <f t="shared" si="19"/>
        <v>15</v>
      </c>
      <c r="Y36" s="45">
        <v>0.4405</v>
      </c>
      <c r="Z36" s="84">
        <v>-4.9159</v>
      </c>
      <c r="AA36" s="88">
        <f t="shared" si="20"/>
        <v>0.4405</v>
      </c>
      <c r="AB36" s="10">
        <f t="shared" si="21"/>
        <v>11.15981839</v>
      </c>
      <c r="AC36" s="10">
        <f t="shared" si="22"/>
        <v>11.01417833</v>
      </c>
      <c r="AD36" s="6">
        <v>0.9707</v>
      </c>
      <c r="AE36" s="5"/>
      <c r="AF36" s="45">
        <v>3.0</v>
      </c>
      <c r="AG36" s="32">
        <v>20.0</v>
      </c>
      <c r="AH36" s="45">
        <v>4.5</v>
      </c>
      <c r="AI36" s="32">
        <f t="shared" si="23"/>
        <v>270</v>
      </c>
      <c r="AJ36" s="32">
        <f t="shared" si="24"/>
        <v>0.27</v>
      </c>
      <c r="AK36" s="32">
        <f t="shared" si="25"/>
        <v>7.065</v>
      </c>
      <c r="AL36" s="46">
        <f t="shared" si="26"/>
        <v>38.21656051</v>
      </c>
      <c r="AM36" s="32">
        <f t="shared" si="27"/>
        <v>20</v>
      </c>
      <c r="AN36" s="45">
        <v>0.3795</v>
      </c>
      <c r="AO36" s="84">
        <v>-5.1387</v>
      </c>
      <c r="AP36" s="88">
        <f t="shared" si="28"/>
        <v>0.3795</v>
      </c>
      <c r="AQ36" s="10">
        <f t="shared" si="29"/>
        <v>13.54071146</v>
      </c>
      <c r="AR36" s="10">
        <f t="shared" si="30"/>
        <v>13.12892828</v>
      </c>
      <c r="AS36" s="6">
        <v>0.9666</v>
      </c>
      <c r="AT36" s="5"/>
      <c r="AU36" s="5"/>
    </row>
    <row r="37">
      <c r="A37" s="1"/>
      <c r="B37" s="45">
        <v>4.0</v>
      </c>
      <c r="C37" s="32">
        <v>20.0</v>
      </c>
      <c r="D37" s="45">
        <v>4.5</v>
      </c>
      <c r="E37" s="32">
        <f t="shared" si="7"/>
        <v>270</v>
      </c>
      <c r="F37" s="32">
        <f t="shared" si="8"/>
        <v>0.27</v>
      </c>
      <c r="G37" s="32">
        <f t="shared" si="9"/>
        <v>7.065</v>
      </c>
      <c r="H37" s="46">
        <f t="shared" si="10"/>
        <v>38.21656051</v>
      </c>
      <c r="I37" s="32">
        <f t="shared" si="11"/>
        <v>10</v>
      </c>
      <c r="J37" s="45">
        <v>0.3795</v>
      </c>
      <c r="K37" s="84">
        <v>-5.1387</v>
      </c>
      <c r="L37" s="88">
        <f t="shared" si="12"/>
        <v>0.3795</v>
      </c>
      <c r="M37" s="10">
        <f t="shared" si="13"/>
        <v>13.54071146</v>
      </c>
      <c r="N37" s="10">
        <f t="shared" si="14"/>
        <v>13.12892828</v>
      </c>
      <c r="O37" s="6">
        <v>0.9666</v>
      </c>
      <c r="P37" s="1"/>
      <c r="Q37" s="45">
        <v>4.0</v>
      </c>
      <c r="R37" s="32">
        <v>20.0</v>
      </c>
      <c r="S37" s="45">
        <v>4.5</v>
      </c>
      <c r="T37" s="32">
        <f t="shared" si="15"/>
        <v>270</v>
      </c>
      <c r="U37" s="32">
        <f t="shared" si="16"/>
        <v>0.27</v>
      </c>
      <c r="V37" s="32">
        <f t="shared" si="17"/>
        <v>7.065</v>
      </c>
      <c r="W37" s="46">
        <f t="shared" si="18"/>
        <v>38.21656051</v>
      </c>
      <c r="X37" s="32">
        <f t="shared" si="19"/>
        <v>15</v>
      </c>
      <c r="Y37" s="45">
        <v>0.4405</v>
      </c>
      <c r="Z37" s="84">
        <v>-4.9159</v>
      </c>
      <c r="AA37" s="88">
        <f t="shared" si="20"/>
        <v>0.4405</v>
      </c>
      <c r="AB37" s="10">
        <f t="shared" si="21"/>
        <v>11.15981839</v>
      </c>
      <c r="AC37" s="10">
        <f t="shared" si="22"/>
        <v>11.01417833</v>
      </c>
      <c r="AD37" s="6">
        <v>0.9707</v>
      </c>
      <c r="AE37" s="5"/>
      <c r="AF37" s="45">
        <v>4.0</v>
      </c>
      <c r="AG37" s="32">
        <v>20.0</v>
      </c>
      <c r="AH37" s="45">
        <v>4.5</v>
      </c>
      <c r="AI37" s="32">
        <f t="shared" si="23"/>
        <v>270</v>
      </c>
      <c r="AJ37" s="32">
        <f t="shared" si="24"/>
        <v>0.27</v>
      </c>
      <c r="AK37" s="32">
        <f t="shared" si="25"/>
        <v>7.065</v>
      </c>
      <c r="AL37" s="46">
        <f t="shared" si="26"/>
        <v>38.21656051</v>
      </c>
      <c r="AM37" s="32">
        <f t="shared" si="27"/>
        <v>20</v>
      </c>
      <c r="AN37" s="45">
        <v>0.3795</v>
      </c>
      <c r="AO37" s="84">
        <v>-5.1387</v>
      </c>
      <c r="AP37" s="88">
        <f t="shared" si="28"/>
        <v>0.3795</v>
      </c>
      <c r="AQ37" s="10">
        <f t="shared" si="29"/>
        <v>13.54071146</v>
      </c>
      <c r="AR37" s="10">
        <f t="shared" si="30"/>
        <v>13.12892828</v>
      </c>
      <c r="AS37" s="6">
        <v>0.9666</v>
      </c>
      <c r="AT37" s="5"/>
      <c r="AU37" s="5"/>
    </row>
    <row r="38">
      <c r="A38" s="1"/>
      <c r="B38" s="45">
        <v>5.0</v>
      </c>
      <c r="C38" s="32">
        <v>20.0</v>
      </c>
      <c r="D38" s="45">
        <v>4.5</v>
      </c>
      <c r="E38" s="32">
        <f t="shared" si="7"/>
        <v>270</v>
      </c>
      <c r="F38" s="32">
        <f t="shared" si="8"/>
        <v>0.27</v>
      </c>
      <c r="G38" s="32">
        <f t="shared" si="9"/>
        <v>7.065</v>
      </c>
      <c r="H38" s="46">
        <f t="shared" si="10"/>
        <v>38.21656051</v>
      </c>
      <c r="I38" s="32">
        <f t="shared" si="11"/>
        <v>10</v>
      </c>
      <c r="J38" s="45">
        <v>0.3795</v>
      </c>
      <c r="K38" s="84">
        <v>-5.1387</v>
      </c>
      <c r="L38" s="88">
        <f t="shared" si="12"/>
        <v>0.3795</v>
      </c>
      <c r="M38" s="10">
        <f t="shared" si="13"/>
        <v>13.54071146</v>
      </c>
      <c r="N38" s="10">
        <f t="shared" si="14"/>
        <v>13.12892828</v>
      </c>
      <c r="O38" s="6">
        <v>0.9666</v>
      </c>
      <c r="P38" s="1"/>
      <c r="Q38" s="45">
        <v>5.0</v>
      </c>
      <c r="R38" s="32">
        <v>20.0</v>
      </c>
      <c r="S38" s="45">
        <v>4.5</v>
      </c>
      <c r="T38" s="32">
        <f t="shared" si="15"/>
        <v>270</v>
      </c>
      <c r="U38" s="32">
        <f t="shared" si="16"/>
        <v>0.27</v>
      </c>
      <c r="V38" s="32">
        <f t="shared" si="17"/>
        <v>7.065</v>
      </c>
      <c r="W38" s="46">
        <f t="shared" si="18"/>
        <v>38.21656051</v>
      </c>
      <c r="X38" s="32">
        <f t="shared" si="19"/>
        <v>15</v>
      </c>
      <c r="Y38" s="45">
        <v>0.4405</v>
      </c>
      <c r="Z38" s="84">
        <v>-4.9159</v>
      </c>
      <c r="AA38" s="88">
        <f t="shared" si="20"/>
        <v>0.4405</v>
      </c>
      <c r="AB38" s="10">
        <f t="shared" si="21"/>
        <v>11.15981839</v>
      </c>
      <c r="AC38" s="10">
        <f t="shared" si="22"/>
        <v>11.01417833</v>
      </c>
      <c r="AD38" s="6">
        <v>0.9707</v>
      </c>
      <c r="AE38" s="5"/>
      <c r="AF38" s="45">
        <v>5.0</v>
      </c>
      <c r="AG38" s="32">
        <v>20.0</v>
      </c>
      <c r="AH38" s="45">
        <v>4.5</v>
      </c>
      <c r="AI38" s="32">
        <f t="shared" si="23"/>
        <v>270</v>
      </c>
      <c r="AJ38" s="32">
        <f t="shared" si="24"/>
        <v>0.27</v>
      </c>
      <c r="AK38" s="32">
        <f t="shared" si="25"/>
        <v>7.065</v>
      </c>
      <c r="AL38" s="46">
        <f t="shared" si="26"/>
        <v>38.21656051</v>
      </c>
      <c r="AM38" s="32">
        <f t="shared" si="27"/>
        <v>20</v>
      </c>
      <c r="AN38" s="45">
        <v>0.3795</v>
      </c>
      <c r="AO38" s="84">
        <v>-5.1387</v>
      </c>
      <c r="AP38" s="88">
        <f t="shared" si="28"/>
        <v>0.3795</v>
      </c>
      <c r="AQ38" s="10">
        <f t="shared" si="29"/>
        <v>13.54071146</v>
      </c>
      <c r="AR38" s="10">
        <f t="shared" si="30"/>
        <v>13.12892828</v>
      </c>
      <c r="AS38" s="6">
        <v>0.9666</v>
      </c>
      <c r="AT38" s="5"/>
      <c r="AU38" s="5"/>
    </row>
    <row r="39">
      <c r="A39" s="1"/>
      <c r="B39" s="45">
        <v>6.0</v>
      </c>
      <c r="C39" s="32">
        <v>20.0</v>
      </c>
      <c r="D39" s="45">
        <v>4.5</v>
      </c>
      <c r="E39" s="32">
        <f t="shared" si="7"/>
        <v>270</v>
      </c>
      <c r="F39" s="32">
        <f t="shared" si="8"/>
        <v>0.27</v>
      </c>
      <c r="G39" s="32">
        <f t="shared" si="9"/>
        <v>7.065</v>
      </c>
      <c r="H39" s="46">
        <f t="shared" si="10"/>
        <v>38.21656051</v>
      </c>
      <c r="I39" s="32">
        <f t="shared" si="11"/>
        <v>10</v>
      </c>
      <c r="J39" s="45">
        <v>0.3795</v>
      </c>
      <c r="K39" s="84">
        <v>-5.1387</v>
      </c>
      <c r="L39" s="88">
        <f t="shared" si="12"/>
        <v>0.3795</v>
      </c>
      <c r="M39" s="10">
        <f t="shared" si="13"/>
        <v>13.54071146</v>
      </c>
      <c r="N39" s="10">
        <f t="shared" si="14"/>
        <v>13.12892828</v>
      </c>
      <c r="O39" s="6">
        <v>0.9666</v>
      </c>
      <c r="P39" s="1"/>
      <c r="Q39" s="45">
        <v>6.0</v>
      </c>
      <c r="R39" s="32">
        <v>20.0</v>
      </c>
      <c r="S39" s="45">
        <v>4.5</v>
      </c>
      <c r="T39" s="32">
        <f t="shared" si="15"/>
        <v>270</v>
      </c>
      <c r="U39" s="32">
        <f t="shared" si="16"/>
        <v>0.27</v>
      </c>
      <c r="V39" s="32">
        <f t="shared" si="17"/>
        <v>7.065</v>
      </c>
      <c r="W39" s="46">
        <f t="shared" si="18"/>
        <v>38.21656051</v>
      </c>
      <c r="X39" s="32">
        <f t="shared" si="19"/>
        <v>15</v>
      </c>
      <c r="Y39" s="45">
        <v>0.4405</v>
      </c>
      <c r="Z39" s="84">
        <v>-4.9159</v>
      </c>
      <c r="AA39" s="88">
        <f t="shared" si="20"/>
        <v>0.4405</v>
      </c>
      <c r="AB39" s="10">
        <f t="shared" si="21"/>
        <v>11.15981839</v>
      </c>
      <c r="AC39" s="10">
        <f t="shared" si="22"/>
        <v>11.01417833</v>
      </c>
      <c r="AD39" s="6">
        <v>0.9707</v>
      </c>
      <c r="AE39" s="5"/>
      <c r="AF39" s="45">
        <v>6.0</v>
      </c>
      <c r="AG39" s="32">
        <v>20.0</v>
      </c>
      <c r="AH39" s="45">
        <v>4.5</v>
      </c>
      <c r="AI39" s="32">
        <f t="shared" si="23"/>
        <v>270</v>
      </c>
      <c r="AJ39" s="32">
        <f t="shared" si="24"/>
        <v>0.27</v>
      </c>
      <c r="AK39" s="32">
        <f t="shared" si="25"/>
        <v>7.065</v>
      </c>
      <c r="AL39" s="46">
        <f t="shared" si="26"/>
        <v>38.21656051</v>
      </c>
      <c r="AM39" s="32">
        <f t="shared" si="27"/>
        <v>20</v>
      </c>
      <c r="AN39" s="45">
        <v>0.3795</v>
      </c>
      <c r="AO39" s="84">
        <v>-5.1387</v>
      </c>
      <c r="AP39" s="88">
        <f t="shared" si="28"/>
        <v>0.3795</v>
      </c>
      <c r="AQ39" s="10">
        <f t="shared" si="29"/>
        <v>13.54071146</v>
      </c>
      <c r="AR39" s="10">
        <f t="shared" si="30"/>
        <v>13.12892828</v>
      </c>
      <c r="AS39" s="6">
        <v>0.9666</v>
      </c>
      <c r="AT39" s="5"/>
      <c r="AU39" s="5"/>
    </row>
    <row r="40">
      <c r="A40" s="1"/>
      <c r="B40" s="45">
        <v>7.0</v>
      </c>
      <c r="C40" s="32">
        <v>20.0</v>
      </c>
      <c r="D40" s="45">
        <v>4.5</v>
      </c>
      <c r="E40" s="32">
        <f t="shared" si="7"/>
        <v>270</v>
      </c>
      <c r="F40" s="32">
        <f t="shared" si="8"/>
        <v>0.27</v>
      </c>
      <c r="G40" s="32">
        <f t="shared" si="9"/>
        <v>7.065</v>
      </c>
      <c r="H40" s="46">
        <f t="shared" si="10"/>
        <v>38.21656051</v>
      </c>
      <c r="I40" s="32">
        <f t="shared" si="11"/>
        <v>10</v>
      </c>
      <c r="J40" s="45">
        <v>0.3795</v>
      </c>
      <c r="K40" s="84">
        <v>-5.1387</v>
      </c>
      <c r="L40" s="88">
        <f t="shared" si="12"/>
        <v>0.3795</v>
      </c>
      <c r="M40" s="10">
        <f t="shared" si="13"/>
        <v>13.54071146</v>
      </c>
      <c r="N40" s="10">
        <f t="shared" si="14"/>
        <v>13.12892828</v>
      </c>
      <c r="O40" s="6">
        <v>0.9666</v>
      </c>
      <c r="P40" s="1"/>
      <c r="Q40" s="45">
        <v>7.0</v>
      </c>
      <c r="R40" s="32">
        <v>20.0</v>
      </c>
      <c r="S40" s="45">
        <v>4.5</v>
      </c>
      <c r="T40" s="32">
        <f t="shared" si="15"/>
        <v>270</v>
      </c>
      <c r="U40" s="32">
        <f t="shared" si="16"/>
        <v>0.27</v>
      </c>
      <c r="V40" s="32">
        <f t="shared" si="17"/>
        <v>7.065</v>
      </c>
      <c r="W40" s="46">
        <f t="shared" si="18"/>
        <v>38.21656051</v>
      </c>
      <c r="X40" s="32">
        <f t="shared" si="19"/>
        <v>15</v>
      </c>
      <c r="Y40" s="45">
        <v>0.4405</v>
      </c>
      <c r="Z40" s="84">
        <v>-4.9159</v>
      </c>
      <c r="AA40" s="88">
        <f t="shared" si="20"/>
        <v>0.4405</v>
      </c>
      <c r="AB40" s="10">
        <f t="shared" si="21"/>
        <v>11.15981839</v>
      </c>
      <c r="AC40" s="10">
        <f t="shared" si="22"/>
        <v>11.01417833</v>
      </c>
      <c r="AD40" s="6">
        <v>0.9707</v>
      </c>
      <c r="AE40" s="5"/>
      <c r="AF40" s="45">
        <v>7.0</v>
      </c>
      <c r="AG40" s="32">
        <v>20.0</v>
      </c>
      <c r="AH40" s="45">
        <v>4.5</v>
      </c>
      <c r="AI40" s="32">
        <f t="shared" si="23"/>
        <v>270</v>
      </c>
      <c r="AJ40" s="32">
        <f t="shared" si="24"/>
        <v>0.27</v>
      </c>
      <c r="AK40" s="32">
        <f t="shared" si="25"/>
        <v>7.065</v>
      </c>
      <c r="AL40" s="46">
        <f t="shared" si="26"/>
        <v>38.21656051</v>
      </c>
      <c r="AM40" s="32">
        <f t="shared" si="27"/>
        <v>20</v>
      </c>
      <c r="AN40" s="45">
        <v>0.3795</v>
      </c>
      <c r="AO40" s="84">
        <v>-5.1387</v>
      </c>
      <c r="AP40" s="88">
        <f t="shared" si="28"/>
        <v>0.3795</v>
      </c>
      <c r="AQ40" s="10">
        <f t="shared" si="29"/>
        <v>13.54071146</v>
      </c>
      <c r="AR40" s="10">
        <f t="shared" si="30"/>
        <v>13.12892828</v>
      </c>
      <c r="AS40" s="6">
        <v>0.9666</v>
      </c>
      <c r="AT40" s="5"/>
      <c r="AU40" s="5"/>
    </row>
    <row r="41">
      <c r="A41" s="1"/>
      <c r="B41" s="45">
        <v>8.0</v>
      </c>
      <c r="C41" s="32">
        <v>20.0</v>
      </c>
      <c r="D41" s="45">
        <v>4.5</v>
      </c>
      <c r="E41" s="32">
        <f t="shared" si="7"/>
        <v>270</v>
      </c>
      <c r="F41" s="32">
        <f t="shared" si="8"/>
        <v>0.27</v>
      </c>
      <c r="G41" s="32">
        <f t="shared" si="9"/>
        <v>7.065</v>
      </c>
      <c r="H41" s="46">
        <f t="shared" si="10"/>
        <v>38.21656051</v>
      </c>
      <c r="I41" s="32">
        <f t="shared" si="11"/>
        <v>10</v>
      </c>
      <c r="J41" s="45">
        <v>0.3795</v>
      </c>
      <c r="K41" s="84">
        <v>-5.1387</v>
      </c>
      <c r="L41" s="88">
        <f t="shared" si="12"/>
        <v>0.3795</v>
      </c>
      <c r="M41" s="10">
        <f t="shared" si="13"/>
        <v>13.54071146</v>
      </c>
      <c r="N41" s="10">
        <f t="shared" si="14"/>
        <v>13.12892828</v>
      </c>
      <c r="O41" s="6">
        <v>0.9666</v>
      </c>
      <c r="P41" s="1"/>
      <c r="Q41" s="45">
        <v>8.0</v>
      </c>
      <c r="R41" s="32">
        <v>20.0</v>
      </c>
      <c r="S41" s="45">
        <v>4.5</v>
      </c>
      <c r="T41" s="32">
        <f t="shared" si="15"/>
        <v>270</v>
      </c>
      <c r="U41" s="32">
        <f t="shared" si="16"/>
        <v>0.27</v>
      </c>
      <c r="V41" s="32">
        <f t="shared" si="17"/>
        <v>7.065</v>
      </c>
      <c r="W41" s="46">
        <f t="shared" si="18"/>
        <v>38.21656051</v>
      </c>
      <c r="X41" s="32">
        <f t="shared" si="19"/>
        <v>15</v>
      </c>
      <c r="Y41" s="45">
        <v>0.4405</v>
      </c>
      <c r="Z41" s="84">
        <v>-4.9159</v>
      </c>
      <c r="AA41" s="88">
        <f t="shared" si="20"/>
        <v>0.4405</v>
      </c>
      <c r="AB41" s="10">
        <f t="shared" si="21"/>
        <v>11.15981839</v>
      </c>
      <c r="AC41" s="10">
        <f t="shared" si="22"/>
        <v>11.01417833</v>
      </c>
      <c r="AD41" s="6">
        <v>0.9707</v>
      </c>
      <c r="AE41" s="5"/>
      <c r="AF41" s="45">
        <v>8.0</v>
      </c>
      <c r="AG41" s="32">
        <v>20.0</v>
      </c>
      <c r="AH41" s="45">
        <v>4.5</v>
      </c>
      <c r="AI41" s="32">
        <f t="shared" si="23"/>
        <v>270</v>
      </c>
      <c r="AJ41" s="32">
        <f t="shared" si="24"/>
        <v>0.27</v>
      </c>
      <c r="AK41" s="32">
        <f t="shared" si="25"/>
        <v>7.065</v>
      </c>
      <c r="AL41" s="46">
        <f t="shared" si="26"/>
        <v>38.21656051</v>
      </c>
      <c r="AM41" s="32">
        <f t="shared" si="27"/>
        <v>20</v>
      </c>
      <c r="AN41" s="45">
        <v>0.3795</v>
      </c>
      <c r="AO41" s="84">
        <v>-5.1387</v>
      </c>
      <c r="AP41" s="88">
        <f t="shared" si="28"/>
        <v>0.3795</v>
      </c>
      <c r="AQ41" s="10">
        <f t="shared" si="29"/>
        <v>13.54071146</v>
      </c>
      <c r="AR41" s="10">
        <f t="shared" si="30"/>
        <v>13.12892828</v>
      </c>
      <c r="AS41" s="6">
        <v>0.9666</v>
      </c>
      <c r="AT41" s="5"/>
      <c r="AU41" s="5"/>
    </row>
    <row r="42">
      <c r="A42" s="1"/>
      <c r="B42" s="45">
        <v>9.0</v>
      </c>
      <c r="C42" s="32">
        <v>20.0</v>
      </c>
      <c r="D42" s="45">
        <v>4.5</v>
      </c>
      <c r="E42" s="32">
        <f t="shared" si="7"/>
        <v>270</v>
      </c>
      <c r="F42" s="32">
        <f t="shared" si="8"/>
        <v>0.27</v>
      </c>
      <c r="G42" s="32">
        <f t="shared" si="9"/>
        <v>7.065</v>
      </c>
      <c r="H42" s="46">
        <f t="shared" si="10"/>
        <v>38.21656051</v>
      </c>
      <c r="I42" s="32">
        <f t="shared" si="11"/>
        <v>10</v>
      </c>
      <c r="J42" s="45">
        <v>0.3795</v>
      </c>
      <c r="K42" s="84">
        <v>-5.1387</v>
      </c>
      <c r="L42" s="88">
        <f t="shared" si="12"/>
        <v>0.3795</v>
      </c>
      <c r="M42" s="10">
        <f t="shared" si="13"/>
        <v>13.54071146</v>
      </c>
      <c r="N42" s="10">
        <f t="shared" si="14"/>
        <v>13.12892828</v>
      </c>
      <c r="O42" s="6">
        <v>0.9666</v>
      </c>
      <c r="P42" s="1"/>
      <c r="Q42" s="45">
        <v>9.0</v>
      </c>
      <c r="R42" s="32">
        <v>20.0</v>
      </c>
      <c r="S42" s="45">
        <v>4.5</v>
      </c>
      <c r="T42" s="32">
        <f t="shared" si="15"/>
        <v>270</v>
      </c>
      <c r="U42" s="32">
        <f t="shared" si="16"/>
        <v>0.27</v>
      </c>
      <c r="V42" s="32">
        <f t="shared" si="17"/>
        <v>7.065</v>
      </c>
      <c r="W42" s="46">
        <f t="shared" si="18"/>
        <v>38.21656051</v>
      </c>
      <c r="X42" s="32">
        <f t="shared" si="19"/>
        <v>15</v>
      </c>
      <c r="Y42" s="45">
        <v>0.4405</v>
      </c>
      <c r="Z42" s="84">
        <v>-4.9159</v>
      </c>
      <c r="AA42" s="88">
        <f t="shared" si="20"/>
        <v>0.4405</v>
      </c>
      <c r="AB42" s="10">
        <f t="shared" si="21"/>
        <v>11.15981839</v>
      </c>
      <c r="AC42" s="10">
        <f t="shared" si="22"/>
        <v>11.01417833</v>
      </c>
      <c r="AD42" s="6">
        <v>0.9707</v>
      </c>
      <c r="AE42" s="5"/>
      <c r="AF42" s="45">
        <v>9.0</v>
      </c>
      <c r="AG42" s="32">
        <v>20.0</v>
      </c>
      <c r="AH42" s="45">
        <v>4.5</v>
      </c>
      <c r="AI42" s="32">
        <f t="shared" si="23"/>
        <v>270</v>
      </c>
      <c r="AJ42" s="32">
        <f t="shared" si="24"/>
        <v>0.27</v>
      </c>
      <c r="AK42" s="32">
        <f t="shared" si="25"/>
        <v>7.065</v>
      </c>
      <c r="AL42" s="46">
        <f t="shared" si="26"/>
        <v>38.21656051</v>
      </c>
      <c r="AM42" s="32">
        <f t="shared" si="27"/>
        <v>20</v>
      </c>
      <c r="AN42" s="45">
        <v>0.3795</v>
      </c>
      <c r="AO42" s="84">
        <v>-5.1387</v>
      </c>
      <c r="AP42" s="88">
        <f t="shared" si="28"/>
        <v>0.3795</v>
      </c>
      <c r="AQ42" s="10">
        <f t="shared" si="29"/>
        <v>13.54071146</v>
      </c>
      <c r="AR42" s="10">
        <f t="shared" si="30"/>
        <v>13.12892828</v>
      </c>
      <c r="AS42" s="6">
        <v>0.9666</v>
      </c>
      <c r="AT42" s="5"/>
      <c r="AU42" s="5"/>
    </row>
    <row r="43">
      <c r="A43" s="1"/>
      <c r="B43" s="45">
        <v>10.0</v>
      </c>
      <c r="C43" s="32">
        <v>20.0</v>
      </c>
      <c r="D43" s="45">
        <v>4.5</v>
      </c>
      <c r="E43" s="32">
        <f t="shared" si="7"/>
        <v>270</v>
      </c>
      <c r="F43" s="32">
        <f t="shared" si="8"/>
        <v>0.27</v>
      </c>
      <c r="G43" s="32">
        <f t="shared" si="9"/>
        <v>7.065</v>
      </c>
      <c r="H43" s="46">
        <f t="shared" si="10"/>
        <v>38.21656051</v>
      </c>
      <c r="I43" s="32">
        <f t="shared" si="11"/>
        <v>10</v>
      </c>
      <c r="J43" s="45">
        <v>0.3795</v>
      </c>
      <c r="K43" s="84">
        <v>-5.1387</v>
      </c>
      <c r="L43" s="88">
        <f t="shared" si="12"/>
        <v>0.3795</v>
      </c>
      <c r="M43" s="10">
        <f t="shared" si="13"/>
        <v>13.54071146</v>
      </c>
      <c r="N43" s="10">
        <f t="shared" si="14"/>
        <v>13.12892828</v>
      </c>
      <c r="O43" s="6">
        <v>0.9666</v>
      </c>
      <c r="P43" s="1"/>
      <c r="Q43" s="45">
        <v>10.0</v>
      </c>
      <c r="R43" s="32">
        <v>20.0</v>
      </c>
      <c r="S43" s="45">
        <v>4.5</v>
      </c>
      <c r="T43" s="32">
        <f t="shared" si="15"/>
        <v>270</v>
      </c>
      <c r="U43" s="32">
        <f t="shared" si="16"/>
        <v>0.27</v>
      </c>
      <c r="V43" s="32">
        <f t="shared" si="17"/>
        <v>7.065</v>
      </c>
      <c r="W43" s="46">
        <f t="shared" si="18"/>
        <v>38.21656051</v>
      </c>
      <c r="X43" s="32">
        <f t="shared" si="19"/>
        <v>15</v>
      </c>
      <c r="Y43" s="45">
        <v>0.4405</v>
      </c>
      <c r="Z43" s="84">
        <v>-4.9159</v>
      </c>
      <c r="AA43" s="88">
        <f t="shared" si="20"/>
        <v>0.4405</v>
      </c>
      <c r="AB43" s="10">
        <f t="shared" si="21"/>
        <v>11.15981839</v>
      </c>
      <c r="AC43" s="10">
        <f t="shared" si="22"/>
        <v>11.01417833</v>
      </c>
      <c r="AD43" s="6">
        <v>0.9707</v>
      </c>
      <c r="AE43" s="5"/>
      <c r="AF43" s="45">
        <v>10.0</v>
      </c>
      <c r="AG43" s="32">
        <v>20.0</v>
      </c>
      <c r="AH43" s="45">
        <v>4.5</v>
      </c>
      <c r="AI43" s="32">
        <f t="shared" si="23"/>
        <v>270</v>
      </c>
      <c r="AJ43" s="32">
        <f t="shared" si="24"/>
        <v>0.27</v>
      </c>
      <c r="AK43" s="32">
        <f t="shared" si="25"/>
        <v>7.065</v>
      </c>
      <c r="AL43" s="46">
        <f t="shared" si="26"/>
        <v>38.21656051</v>
      </c>
      <c r="AM43" s="32">
        <f t="shared" si="27"/>
        <v>20</v>
      </c>
      <c r="AN43" s="45">
        <v>0.3795</v>
      </c>
      <c r="AO43" s="84">
        <v>-5.1387</v>
      </c>
      <c r="AP43" s="88">
        <f t="shared" si="28"/>
        <v>0.3795</v>
      </c>
      <c r="AQ43" s="10">
        <f t="shared" si="29"/>
        <v>13.54071146</v>
      </c>
      <c r="AR43" s="10">
        <f t="shared" si="30"/>
        <v>13.12892828</v>
      </c>
      <c r="AS43" s="6">
        <v>0.9666</v>
      </c>
      <c r="AT43" s="5"/>
      <c r="AU43" s="5"/>
    </row>
    <row r="44">
      <c r="A44" s="1"/>
      <c r="B44" s="45">
        <v>11.0</v>
      </c>
      <c r="C44" s="32">
        <v>20.0</v>
      </c>
      <c r="D44" s="45">
        <v>4.5</v>
      </c>
      <c r="E44" s="32">
        <f t="shared" si="7"/>
        <v>270</v>
      </c>
      <c r="F44" s="32">
        <f t="shared" si="8"/>
        <v>0.27</v>
      </c>
      <c r="G44" s="32">
        <f t="shared" si="9"/>
        <v>7.065</v>
      </c>
      <c r="H44" s="46">
        <f t="shared" si="10"/>
        <v>38.21656051</v>
      </c>
      <c r="I44" s="32">
        <f t="shared" si="11"/>
        <v>10</v>
      </c>
      <c r="J44" s="45">
        <v>0.3795</v>
      </c>
      <c r="K44" s="84">
        <v>-5.1387</v>
      </c>
      <c r="L44" s="88">
        <f t="shared" si="12"/>
        <v>0.3795</v>
      </c>
      <c r="M44" s="10">
        <f t="shared" si="13"/>
        <v>13.54071146</v>
      </c>
      <c r="N44" s="10">
        <f t="shared" si="14"/>
        <v>13.12892828</v>
      </c>
      <c r="O44" s="6">
        <v>0.9666</v>
      </c>
      <c r="P44" s="1"/>
      <c r="Q44" s="45">
        <v>11.0</v>
      </c>
      <c r="R44" s="32">
        <v>20.0</v>
      </c>
      <c r="S44" s="45">
        <v>4.5</v>
      </c>
      <c r="T44" s="32">
        <f t="shared" si="15"/>
        <v>270</v>
      </c>
      <c r="U44" s="32">
        <f t="shared" si="16"/>
        <v>0.27</v>
      </c>
      <c r="V44" s="32">
        <f t="shared" si="17"/>
        <v>7.065</v>
      </c>
      <c r="W44" s="46">
        <f t="shared" si="18"/>
        <v>38.21656051</v>
      </c>
      <c r="X44" s="32">
        <f t="shared" si="19"/>
        <v>15</v>
      </c>
      <c r="Y44" s="45">
        <v>0.4405</v>
      </c>
      <c r="Z44" s="84">
        <v>-4.9159</v>
      </c>
      <c r="AA44" s="88">
        <f t="shared" si="20"/>
        <v>0.4405</v>
      </c>
      <c r="AB44" s="10">
        <f t="shared" si="21"/>
        <v>11.15981839</v>
      </c>
      <c r="AC44" s="10">
        <f t="shared" si="22"/>
        <v>11.01417833</v>
      </c>
      <c r="AD44" s="6">
        <v>0.9707</v>
      </c>
      <c r="AE44" s="5"/>
      <c r="AF44" s="45">
        <v>11.0</v>
      </c>
      <c r="AG44" s="32">
        <v>20.0</v>
      </c>
      <c r="AH44" s="45">
        <v>4.5</v>
      </c>
      <c r="AI44" s="32">
        <f t="shared" si="23"/>
        <v>270</v>
      </c>
      <c r="AJ44" s="32">
        <f t="shared" si="24"/>
        <v>0.27</v>
      </c>
      <c r="AK44" s="32">
        <f t="shared" si="25"/>
        <v>7.065</v>
      </c>
      <c r="AL44" s="46">
        <f t="shared" si="26"/>
        <v>38.21656051</v>
      </c>
      <c r="AM44" s="32">
        <f t="shared" si="27"/>
        <v>20</v>
      </c>
      <c r="AN44" s="45">
        <v>0.3795</v>
      </c>
      <c r="AO44" s="84">
        <v>-5.1387</v>
      </c>
      <c r="AP44" s="88">
        <f t="shared" si="28"/>
        <v>0.3795</v>
      </c>
      <c r="AQ44" s="10">
        <f t="shared" si="29"/>
        <v>13.54071146</v>
      </c>
      <c r="AR44" s="10">
        <f t="shared" si="30"/>
        <v>13.12892828</v>
      </c>
      <c r="AS44" s="6">
        <v>0.9666</v>
      </c>
      <c r="AT44" s="5"/>
      <c r="AU44" s="5"/>
    </row>
    <row r="45">
      <c r="A45" s="1"/>
      <c r="B45" s="45">
        <v>12.0</v>
      </c>
      <c r="C45" s="32">
        <v>20.0</v>
      </c>
      <c r="D45" s="45">
        <v>4.5</v>
      </c>
      <c r="E45" s="32">
        <f t="shared" si="7"/>
        <v>270</v>
      </c>
      <c r="F45" s="32">
        <f t="shared" si="8"/>
        <v>0.27</v>
      </c>
      <c r="G45" s="32">
        <f t="shared" si="9"/>
        <v>7.065</v>
      </c>
      <c r="H45" s="46">
        <f t="shared" si="10"/>
        <v>38.21656051</v>
      </c>
      <c r="I45" s="32">
        <f t="shared" si="11"/>
        <v>10</v>
      </c>
      <c r="J45" s="45">
        <v>0.3795</v>
      </c>
      <c r="K45" s="84">
        <v>-5.1387</v>
      </c>
      <c r="L45" s="88">
        <f t="shared" si="12"/>
        <v>0.3795</v>
      </c>
      <c r="M45" s="10">
        <f t="shared" si="13"/>
        <v>13.54071146</v>
      </c>
      <c r="N45" s="10">
        <f t="shared" si="14"/>
        <v>13.12892828</v>
      </c>
      <c r="O45" s="6">
        <v>0.9666</v>
      </c>
      <c r="P45" s="1"/>
      <c r="Q45" s="45">
        <v>12.0</v>
      </c>
      <c r="R45" s="32">
        <v>20.0</v>
      </c>
      <c r="S45" s="45">
        <v>4.5</v>
      </c>
      <c r="T45" s="32">
        <f t="shared" si="15"/>
        <v>270</v>
      </c>
      <c r="U45" s="32">
        <f t="shared" si="16"/>
        <v>0.27</v>
      </c>
      <c r="V45" s="32">
        <f t="shared" si="17"/>
        <v>7.065</v>
      </c>
      <c r="W45" s="46">
        <f t="shared" si="18"/>
        <v>38.21656051</v>
      </c>
      <c r="X45" s="32">
        <f t="shared" si="19"/>
        <v>15</v>
      </c>
      <c r="Y45" s="45">
        <v>0.4405</v>
      </c>
      <c r="Z45" s="84">
        <v>-4.9159</v>
      </c>
      <c r="AA45" s="88">
        <f t="shared" si="20"/>
        <v>0.4405</v>
      </c>
      <c r="AB45" s="10">
        <f t="shared" si="21"/>
        <v>11.15981839</v>
      </c>
      <c r="AC45" s="10">
        <f t="shared" si="22"/>
        <v>11.01417833</v>
      </c>
      <c r="AD45" s="6">
        <v>0.9707</v>
      </c>
      <c r="AE45" s="5"/>
      <c r="AF45" s="45">
        <v>12.0</v>
      </c>
      <c r="AG45" s="32">
        <v>20.0</v>
      </c>
      <c r="AH45" s="45">
        <v>4.5</v>
      </c>
      <c r="AI45" s="32">
        <f t="shared" si="23"/>
        <v>270</v>
      </c>
      <c r="AJ45" s="32">
        <f t="shared" si="24"/>
        <v>0.27</v>
      </c>
      <c r="AK45" s="32">
        <f t="shared" si="25"/>
        <v>7.065</v>
      </c>
      <c r="AL45" s="46">
        <f t="shared" si="26"/>
        <v>38.21656051</v>
      </c>
      <c r="AM45" s="32">
        <f t="shared" si="27"/>
        <v>20</v>
      </c>
      <c r="AN45" s="45">
        <v>0.3795</v>
      </c>
      <c r="AO45" s="84">
        <v>-5.1387</v>
      </c>
      <c r="AP45" s="88">
        <f t="shared" si="28"/>
        <v>0.3795</v>
      </c>
      <c r="AQ45" s="10">
        <f t="shared" si="29"/>
        <v>13.54071146</v>
      </c>
      <c r="AR45" s="10">
        <f t="shared" si="30"/>
        <v>13.12892828</v>
      </c>
      <c r="AS45" s="6">
        <v>0.9666</v>
      </c>
      <c r="AT45" s="5"/>
      <c r="AU45" s="5"/>
    </row>
    <row r="46">
      <c r="A46" s="1"/>
      <c r="B46" s="45">
        <v>13.0</v>
      </c>
      <c r="C46" s="32">
        <v>20.0</v>
      </c>
      <c r="D46" s="45">
        <v>4.5</v>
      </c>
      <c r="E46" s="32">
        <f t="shared" si="7"/>
        <v>270</v>
      </c>
      <c r="F46" s="32">
        <f t="shared" si="8"/>
        <v>0.27</v>
      </c>
      <c r="G46" s="32">
        <f t="shared" si="9"/>
        <v>7.065</v>
      </c>
      <c r="H46" s="46">
        <f t="shared" si="10"/>
        <v>38.21656051</v>
      </c>
      <c r="I46" s="32">
        <f t="shared" si="11"/>
        <v>10</v>
      </c>
      <c r="J46" s="45">
        <v>0.3795</v>
      </c>
      <c r="K46" s="84">
        <v>-5.1387</v>
      </c>
      <c r="L46" s="88">
        <f t="shared" si="12"/>
        <v>0.3795</v>
      </c>
      <c r="M46" s="10">
        <f t="shared" si="13"/>
        <v>13.54071146</v>
      </c>
      <c r="N46" s="10">
        <f t="shared" si="14"/>
        <v>13.12892828</v>
      </c>
      <c r="O46" s="6">
        <v>0.9666</v>
      </c>
      <c r="P46" s="1"/>
      <c r="Q46" s="45">
        <v>13.0</v>
      </c>
      <c r="R46" s="32">
        <v>20.0</v>
      </c>
      <c r="S46" s="45">
        <v>4.5</v>
      </c>
      <c r="T46" s="32">
        <f t="shared" si="15"/>
        <v>270</v>
      </c>
      <c r="U46" s="32">
        <f t="shared" si="16"/>
        <v>0.27</v>
      </c>
      <c r="V46" s="32">
        <f t="shared" si="17"/>
        <v>7.065</v>
      </c>
      <c r="W46" s="46">
        <f t="shared" si="18"/>
        <v>38.21656051</v>
      </c>
      <c r="X46" s="32">
        <f t="shared" si="19"/>
        <v>15</v>
      </c>
      <c r="Y46" s="45">
        <v>0.4405</v>
      </c>
      <c r="Z46" s="84">
        <v>-4.9159</v>
      </c>
      <c r="AA46" s="88">
        <f t="shared" si="20"/>
        <v>0.4405</v>
      </c>
      <c r="AB46" s="10">
        <f t="shared" si="21"/>
        <v>11.15981839</v>
      </c>
      <c r="AC46" s="10">
        <f t="shared" si="22"/>
        <v>11.01417833</v>
      </c>
      <c r="AD46" s="6">
        <v>0.9707</v>
      </c>
      <c r="AE46" s="5"/>
      <c r="AF46" s="45">
        <v>13.0</v>
      </c>
      <c r="AG46" s="32">
        <v>20.0</v>
      </c>
      <c r="AH46" s="45">
        <v>4.5</v>
      </c>
      <c r="AI46" s="32">
        <f t="shared" si="23"/>
        <v>270</v>
      </c>
      <c r="AJ46" s="32">
        <f t="shared" si="24"/>
        <v>0.27</v>
      </c>
      <c r="AK46" s="32">
        <f t="shared" si="25"/>
        <v>7.065</v>
      </c>
      <c r="AL46" s="46">
        <f t="shared" si="26"/>
        <v>38.21656051</v>
      </c>
      <c r="AM46" s="32">
        <f t="shared" si="27"/>
        <v>20</v>
      </c>
      <c r="AN46" s="45">
        <v>0.3795</v>
      </c>
      <c r="AO46" s="84">
        <v>-5.1387</v>
      </c>
      <c r="AP46" s="88">
        <f t="shared" si="28"/>
        <v>0.3795</v>
      </c>
      <c r="AQ46" s="10">
        <f t="shared" si="29"/>
        <v>13.54071146</v>
      </c>
      <c r="AR46" s="10">
        <f t="shared" si="30"/>
        <v>13.12892828</v>
      </c>
      <c r="AS46" s="6">
        <v>0.9666</v>
      </c>
      <c r="AT46" s="5"/>
      <c r="AU46" s="5"/>
    </row>
    <row r="47">
      <c r="A47" s="1"/>
      <c r="B47" s="45">
        <v>14.0</v>
      </c>
      <c r="C47" s="32">
        <v>20.0</v>
      </c>
      <c r="D47" s="45">
        <v>4.5</v>
      </c>
      <c r="E47" s="32">
        <f t="shared" si="7"/>
        <v>270</v>
      </c>
      <c r="F47" s="32">
        <f t="shared" si="8"/>
        <v>0.27</v>
      </c>
      <c r="G47" s="32">
        <f t="shared" si="9"/>
        <v>7.065</v>
      </c>
      <c r="H47" s="46">
        <f t="shared" si="10"/>
        <v>38.21656051</v>
      </c>
      <c r="I47" s="32">
        <f t="shared" si="11"/>
        <v>10</v>
      </c>
      <c r="J47" s="45">
        <v>0.3795</v>
      </c>
      <c r="K47" s="84">
        <v>-5.1387</v>
      </c>
      <c r="L47" s="88">
        <f t="shared" si="12"/>
        <v>0.3795</v>
      </c>
      <c r="M47" s="10">
        <f t="shared" si="13"/>
        <v>13.54071146</v>
      </c>
      <c r="N47" s="10">
        <f t="shared" si="14"/>
        <v>13.12892828</v>
      </c>
      <c r="O47" s="6">
        <v>0.9666</v>
      </c>
      <c r="P47" s="1"/>
      <c r="Q47" s="45">
        <v>14.0</v>
      </c>
      <c r="R47" s="32">
        <v>20.0</v>
      </c>
      <c r="S47" s="45">
        <v>4.5</v>
      </c>
      <c r="T47" s="32">
        <f t="shared" si="15"/>
        <v>270</v>
      </c>
      <c r="U47" s="32">
        <f t="shared" si="16"/>
        <v>0.27</v>
      </c>
      <c r="V47" s="32">
        <f t="shared" si="17"/>
        <v>7.065</v>
      </c>
      <c r="W47" s="46">
        <f t="shared" si="18"/>
        <v>38.21656051</v>
      </c>
      <c r="X47" s="32">
        <f t="shared" si="19"/>
        <v>15</v>
      </c>
      <c r="Y47" s="45">
        <v>0.4405</v>
      </c>
      <c r="Z47" s="84">
        <v>-4.9159</v>
      </c>
      <c r="AA47" s="88">
        <f t="shared" si="20"/>
        <v>0.4405</v>
      </c>
      <c r="AB47" s="10">
        <f t="shared" si="21"/>
        <v>11.15981839</v>
      </c>
      <c r="AC47" s="10">
        <f t="shared" si="22"/>
        <v>11.01417833</v>
      </c>
      <c r="AD47" s="6">
        <v>0.9707</v>
      </c>
      <c r="AE47" s="5"/>
      <c r="AF47" s="45">
        <v>14.0</v>
      </c>
      <c r="AG47" s="32">
        <v>20.0</v>
      </c>
      <c r="AH47" s="45">
        <v>4.5</v>
      </c>
      <c r="AI47" s="32">
        <f t="shared" si="23"/>
        <v>270</v>
      </c>
      <c r="AJ47" s="32">
        <f t="shared" si="24"/>
        <v>0.27</v>
      </c>
      <c r="AK47" s="32">
        <f t="shared" si="25"/>
        <v>7.065</v>
      </c>
      <c r="AL47" s="46">
        <f t="shared" si="26"/>
        <v>38.21656051</v>
      </c>
      <c r="AM47" s="32">
        <f t="shared" si="27"/>
        <v>20</v>
      </c>
      <c r="AN47" s="45">
        <v>0.3795</v>
      </c>
      <c r="AO47" s="84">
        <v>-5.1387</v>
      </c>
      <c r="AP47" s="88">
        <f t="shared" si="28"/>
        <v>0.3795</v>
      </c>
      <c r="AQ47" s="10">
        <f t="shared" si="29"/>
        <v>13.54071146</v>
      </c>
      <c r="AR47" s="10">
        <f t="shared" si="30"/>
        <v>13.12892828</v>
      </c>
      <c r="AS47" s="6">
        <v>0.9666</v>
      </c>
      <c r="AT47" s="5"/>
      <c r="AU47" s="5"/>
    </row>
    <row r="48">
      <c r="A48" s="1"/>
      <c r="B48" s="45">
        <v>15.0</v>
      </c>
      <c r="C48" s="32">
        <v>20.0</v>
      </c>
      <c r="D48" s="45">
        <v>4.5</v>
      </c>
      <c r="E48" s="32">
        <f t="shared" si="7"/>
        <v>270</v>
      </c>
      <c r="F48" s="32">
        <f t="shared" si="8"/>
        <v>0.27</v>
      </c>
      <c r="G48" s="32">
        <f t="shared" si="9"/>
        <v>7.065</v>
      </c>
      <c r="H48" s="46">
        <f t="shared" si="10"/>
        <v>38.21656051</v>
      </c>
      <c r="I48" s="32">
        <f t="shared" si="11"/>
        <v>10</v>
      </c>
      <c r="J48" s="45">
        <v>0.3795</v>
      </c>
      <c r="K48" s="84">
        <v>-5.1387</v>
      </c>
      <c r="L48" s="88">
        <f t="shared" si="12"/>
        <v>0.3795</v>
      </c>
      <c r="M48" s="10">
        <f t="shared" si="13"/>
        <v>13.54071146</v>
      </c>
      <c r="N48" s="10">
        <f t="shared" si="14"/>
        <v>13.12892828</v>
      </c>
      <c r="O48" s="6">
        <v>0.9666</v>
      </c>
      <c r="P48" s="1"/>
      <c r="Q48" s="45">
        <v>15.0</v>
      </c>
      <c r="R48" s="32">
        <v>20.0</v>
      </c>
      <c r="S48" s="45">
        <v>4.5</v>
      </c>
      <c r="T48" s="32">
        <f t="shared" si="15"/>
        <v>270</v>
      </c>
      <c r="U48" s="32">
        <f t="shared" si="16"/>
        <v>0.27</v>
      </c>
      <c r="V48" s="32">
        <f t="shared" si="17"/>
        <v>7.065</v>
      </c>
      <c r="W48" s="46">
        <f t="shared" si="18"/>
        <v>38.21656051</v>
      </c>
      <c r="X48" s="32">
        <f t="shared" si="19"/>
        <v>15</v>
      </c>
      <c r="Y48" s="45">
        <v>0.4405</v>
      </c>
      <c r="Z48" s="84">
        <v>-4.9159</v>
      </c>
      <c r="AA48" s="88">
        <f t="shared" si="20"/>
        <v>0.4405</v>
      </c>
      <c r="AB48" s="10">
        <f t="shared" si="21"/>
        <v>11.15981839</v>
      </c>
      <c r="AC48" s="10">
        <f t="shared" si="22"/>
        <v>11.01417833</v>
      </c>
      <c r="AD48" s="6">
        <v>0.9707</v>
      </c>
      <c r="AE48" s="5"/>
      <c r="AF48" s="45">
        <v>15.0</v>
      </c>
      <c r="AG48" s="32">
        <v>20.0</v>
      </c>
      <c r="AH48" s="45">
        <v>4.5</v>
      </c>
      <c r="AI48" s="32">
        <f t="shared" si="23"/>
        <v>270</v>
      </c>
      <c r="AJ48" s="32">
        <f t="shared" si="24"/>
        <v>0.27</v>
      </c>
      <c r="AK48" s="32">
        <f t="shared" si="25"/>
        <v>7.065</v>
      </c>
      <c r="AL48" s="46">
        <f t="shared" si="26"/>
        <v>38.21656051</v>
      </c>
      <c r="AM48" s="32" t="str">
        <f t="shared" si="27"/>
        <v/>
      </c>
      <c r="AN48" s="45">
        <v>0.3795</v>
      </c>
      <c r="AO48" s="84">
        <v>-5.1387</v>
      </c>
      <c r="AP48" s="88">
        <f t="shared" si="28"/>
        <v>0.3795</v>
      </c>
      <c r="AQ48" s="10">
        <f t="shared" si="29"/>
        <v>13.54071146</v>
      </c>
      <c r="AR48" s="10">
        <f t="shared" si="30"/>
        <v>13.12892828</v>
      </c>
      <c r="AS48" s="6">
        <v>0.9666</v>
      </c>
      <c r="AT48" s="5"/>
      <c r="AU48" s="5"/>
    </row>
    <row r="49">
      <c r="A49" s="1"/>
      <c r="B49" s="45">
        <v>16.0</v>
      </c>
      <c r="C49" s="32">
        <v>20.0</v>
      </c>
      <c r="D49" s="45">
        <v>4.5</v>
      </c>
      <c r="E49" s="32">
        <f t="shared" si="7"/>
        <v>270</v>
      </c>
      <c r="F49" s="32">
        <f t="shared" si="8"/>
        <v>0.27</v>
      </c>
      <c r="G49" s="32">
        <f t="shared" si="9"/>
        <v>7.065</v>
      </c>
      <c r="H49" s="46">
        <f t="shared" si="10"/>
        <v>38.21656051</v>
      </c>
      <c r="I49" s="32">
        <f t="shared" si="11"/>
        <v>10</v>
      </c>
      <c r="J49" s="45">
        <v>0.3795</v>
      </c>
      <c r="K49" s="84">
        <v>-5.1387</v>
      </c>
      <c r="L49" s="88">
        <f t="shared" si="12"/>
        <v>0.3795</v>
      </c>
      <c r="M49" s="10">
        <f t="shared" si="13"/>
        <v>13.54071146</v>
      </c>
      <c r="N49" s="10">
        <f t="shared" si="14"/>
        <v>13.12892828</v>
      </c>
      <c r="O49" s="6">
        <v>0.9666</v>
      </c>
      <c r="P49" s="1"/>
      <c r="Q49" s="45">
        <v>16.0</v>
      </c>
      <c r="R49" s="32">
        <v>20.0</v>
      </c>
      <c r="S49" s="45">
        <v>4.5</v>
      </c>
      <c r="T49" s="32">
        <f t="shared" si="15"/>
        <v>270</v>
      </c>
      <c r="U49" s="32">
        <f t="shared" si="16"/>
        <v>0.27</v>
      </c>
      <c r="V49" s="32">
        <f t="shared" si="17"/>
        <v>7.065</v>
      </c>
      <c r="W49" s="46">
        <f t="shared" si="18"/>
        <v>38.21656051</v>
      </c>
      <c r="X49" s="32">
        <f t="shared" si="19"/>
        <v>15</v>
      </c>
      <c r="Y49" s="45">
        <v>0.4405</v>
      </c>
      <c r="Z49" s="84">
        <v>-4.9159</v>
      </c>
      <c r="AA49" s="88">
        <f t="shared" si="20"/>
        <v>0.4405</v>
      </c>
      <c r="AB49" s="10">
        <f t="shared" si="21"/>
        <v>11.15981839</v>
      </c>
      <c r="AC49" s="10">
        <f t="shared" si="22"/>
        <v>11.01417833</v>
      </c>
      <c r="AD49" s="6">
        <v>0.9707</v>
      </c>
      <c r="AE49" s="5"/>
      <c r="AF49" s="45">
        <v>16.0</v>
      </c>
      <c r="AG49" s="32">
        <v>20.0</v>
      </c>
      <c r="AH49" s="45">
        <v>4.5</v>
      </c>
      <c r="AI49" s="32">
        <f t="shared" si="23"/>
        <v>270</v>
      </c>
      <c r="AJ49" s="32">
        <f t="shared" si="24"/>
        <v>0.27</v>
      </c>
      <c r="AK49" s="32">
        <f t="shared" si="25"/>
        <v>7.065</v>
      </c>
      <c r="AL49" s="46">
        <f t="shared" si="26"/>
        <v>38.21656051</v>
      </c>
      <c r="AM49" s="32" t="str">
        <f t="shared" si="27"/>
        <v/>
      </c>
      <c r="AN49" s="45">
        <v>0.3795</v>
      </c>
      <c r="AO49" s="84">
        <v>-5.1387</v>
      </c>
      <c r="AP49" s="88">
        <f t="shared" si="28"/>
        <v>0.3795</v>
      </c>
      <c r="AQ49" s="10">
        <f t="shared" si="29"/>
        <v>13.54071146</v>
      </c>
      <c r="AR49" s="10">
        <f t="shared" si="30"/>
        <v>13.12892828</v>
      </c>
      <c r="AS49" s="6">
        <v>0.9666</v>
      </c>
      <c r="AT49" s="5"/>
      <c r="AU49" s="5"/>
    </row>
    <row r="50">
      <c r="A50" s="1"/>
      <c r="B50" s="45">
        <v>17.0</v>
      </c>
      <c r="C50" s="32">
        <v>20.0</v>
      </c>
      <c r="D50" s="45">
        <v>4.5</v>
      </c>
      <c r="E50" s="32">
        <f t="shared" si="7"/>
        <v>270</v>
      </c>
      <c r="F50" s="32">
        <f t="shared" si="8"/>
        <v>0.27</v>
      </c>
      <c r="G50" s="32">
        <f t="shared" si="9"/>
        <v>7.065</v>
      </c>
      <c r="H50" s="46">
        <f t="shared" si="10"/>
        <v>38.21656051</v>
      </c>
      <c r="I50" s="32">
        <f t="shared" si="11"/>
        <v>10</v>
      </c>
      <c r="J50" s="45">
        <v>0.3795</v>
      </c>
      <c r="K50" s="84">
        <v>-5.1387</v>
      </c>
      <c r="L50" s="88">
        <f t="shared" si="12"/>
        <v>0.3795</v>
      </c>
      <c r="M50" s="10">
        <f t="shared" si="13"/>
        <v>13.54071146</v>
      </c>
      <c r="N50" s="10">
        <f t="shared" si="14"/>
        <v>13.12892828</v>
      </c>
      <c r="O50" s="6">
        <v>0.9666</v>
      </c>
      <c r="P50" s="1"/>
      <c r="Q50" s="85">
        <v>17.0</v>
      </c>
      <c r="R50" s="86">
        <v>20.0</v>
      </c>
      <c r="S50" s="85">
        <v>4.5</v>
      </c>
      <c r="T50" s="86">
        <f t="shared" si="15"/>
        <v>270</v>
      </c>
      <c r="U50" s="86">
        <f t="shared" si="16"/>
        <v>0.27</v>
      </c>
      <c r="V50" s="86">
        <f t="shared" si="17"/>
        <v>7.065</v>
      </c>
      <c r="W50" s="87">
        <f t="shared" si="18"/>
        <v>38.21656051</v>
      </c>
      <c r="X50" s="86">
        <f t="shared" si="19"/>
        <v>15</v>
      </c>
      <c r="Y50" s="85">
        <v>0.4405</v>
      </c>
      <c r="Z50" s="84">
        <v>-4.9159</v>
      </c>
      <c r="AA50" s="88">
        <f t="shared" si="20"/>
        <v>0.4405</v>
      </c>
      <c r="AB50" s="10">
        <f t="shared" si="21"/>
        <v>11.15981839</v>
      </c>
      <c r="AC50" s="10">
        <f t="shared" si="22"/>
        <v>11.01417833</v>
      </c>
      <c r="AD50" s="6">
        <v>0.9707</v>
      </c>
      <c r="AE50" s="5"/>
      <c r="AF50" s="45">
        <v>17.0</v>
      </c>
      <c r="AG50" s="32">
        <v>20.0</v>
      </c>
      <c r="AH50" s="45">
        <v>4.5</v>
      </c>
      <c r="AI50" s="32">
        <f t="shared" si="23"/>
        <v>270</v>
      </c>
      <c r="AJ50" s="32">
        <f t="shared" si="24"/>
        <v>0.27</v>
      </c>
      <c r="AK50" s="32">
        <f t="shared" si="25"/>
        <v>7.065</v>
      </c>
      <c r="AL50" s="46">
        <f t="shared" si="26"/>
        <v>38.21656051</v>
      </c>
      <c r="AM50" s="32" t="str">
        <f t="shared" si="27"/>
        <v/>
      </c>
      <c r="AN50" s="45">
        <v>0.3795</v>
      </c>
      <c r="AO50" s="84">
        <v>-5.1387</v>
      </c>
      <c r="AP50" s="88">
        <f t="shared" si="28"/>
        <v>0.3795</v>
      </c>
      <c r="AQ50" s="10">
        <f t="shared" si="29"/>
        <v>13.54071146</v>
      </c>
      <c r="AR50" s="10">
        <f t="shared" si="30"/>
        <v>13.12892828</v>
      </c>
      <c r="AS50" s="6">
        <v>0.9666</v>
      </c>
      <c r="AT50" s="5"/>
      <c r="AU50" s="5"/>
    </row>
    <row r="51">
      <c r="A51" s="1"/>
      <c r="B51" s="45">
        <v>18.0</v>
      </c>
      <c r="C51" s="32">
        <v>20.0</v>
      </c>
      <c r="D51" s="45">
        <v>4.5</v>
      </c>
      <c r="E51" s="32">
        <f t="shared" si="7"/>
        <v>270</v>
      </c>
      <c r="F51" s="32">
        <f t="shared" si="8"/>
        <v>0.27</v>
      </c>
      <c r="G51" s="32">
        <f t="shared" si="9"/>
        <v>7.065</v>
      </c>
      <c r="H51" s="46">
        <f t="shared" si="10"/>
        <v>38.21656051</v>
      </c>
      <c r="I51" s="32">
        <f t="shared" si="11"/>
        <v>10</v>
      </c>
      <c r="J51" s="45">
        <v>0.3795</v>
      </c>
      <c r="K51" s="84">
        <v>-5.1387</v>
      </c>
      <c r="L51" s="88">
        <f t="shared" si="12"/>
        <v>0.3795</v>
      </c>
      <c r="M51" s="10">
        <f t="shared" si="13"/>
        <v>13.54071146</v>
      </c>
      <c r="N51" s="10">
        <f t="shared" si="14"/>
        <v>13.12892828</v>
      </c>
      <c r="O51" s="6">
        <v>0.9666</v>
      </c>
      <c r="P51" s="1"/>
      <c r="Q51" s="6">
        <v>18.0</v>
      </c>
      <c r="R51" s="88">
        <v>20.0</v>
      </c>
      <c r="S51" s="6">
        <v>4.5</v>
      </c>
      <c r="T51" s="88">
        <f t="shared" si="15"/>
        <v>270</v>
      </c>
      <c r="U51" s="88">
        <f t="shared" si="16"/>
        <v>0.27</v>
      </c>
      <c r="V51" s="88">
        <f t="shared" si="17"/>
        <v>7.065</v>
      </c>
      <c r="W51" s="48">
        <f t="shared" si="18"/>
        <v>38.21656051</v>
      </c>
      <c r="X51" s="88">
        <f t="shared" si="19"/>
        <v>15</v>
      </c>
      <c r="Y51" s="6">
        <v>0.4405</v>
      </c>
      <c r="Z51" s="84">
        <v>-4.9159</v>
      </c>
      <c r="AA51" s="88">
        <f t="shared" si="20"/>
        <v>0.4405</v>
      </c>
      <c r="AB51" s="10">
        <f t="shared" si="21"/>
        <v>11.15981839</v>
      </c>
      <c r="AC51" s="10">
        <f t="shared" si="22"/>
        <v>11.01417833</v>
      </c>
      <c r="AD51" s="6">
        <v>0.9707</v>
      </c>
      <c r="AE51" s="5"/>
      <c r="AF51" s="45">
        <v>18.0</v>
      </c>
      <c r="AG51" s="32">
        <v>20.0</v>
      </c>
      <c r="AH51" s="45">
        <v>4.5</v>
      </c>
      <c r="AI51" s="32">
        <f t="shared" si="23"/>
        <v>270</v>
      </c>
      <c r="AJ51" s="32">
        <f t="shared" si="24"/>
        <v>0.27</v>
      </c>
      <c r="AK51" s="32">
        <f t="shared" si="25"/>
        <v>7.065</v>
      </c>
      <c r="AL51" s="46">
        <f t="shared" si="26"/>
        <v>38.21656051</v>
      </c>
      <c r="AM51" s="32" t="str">
        <f t="shared" si="27"/>
        <v/>
      </c>
      <c r="AN51" s="45">
        <v>0.3795</v>
      </c>
      <c r="AO51" s="84">
        <v>-5.1387</v>
      </c>
      <c r="AP51" s="88">
        <f t="shared" si="28"/>
        <v>0.3795</v>
      </c>
      <c r="AQ51" s="10">
        <f t="shared" si="29"/>
        <v>13.54071146</v>
      </c>
      <c r="AR51" s="10">
        <f t="shared" si="30"/>
        <v>13.12892828</v>
      </c>
      <c r="AS51" s="6">
        <v>0.9666</v>
      </c>
      <c r="AT51" s="5"/>
      <c r="AU51" s="5"/>
    </row>
    <row r="52">
      <c r="A52" s="1"/>
      <c r="B52" s="45">
        <v>19.0</v>
      </c>
      <c r="C52" s="32">
        <v>20.0</v>
      </c>
      <c r="D52" s="45">
        <v>4.5</v>
      </c>
      <c r="E52" s="32">
        <f t="shared" si="7"/>
        <v>270</v>
      </c>
      <c r="F52" s="32">
        <f t="shared" si="8"/>
        <v>0.27</v>
      </c>
      <c r="G52" s="32">
        <f t="shared" si="9"/>
        <v>7.065</v>
      </c>
      <c r="H52" s="46">
        <f t="shared" si="10"/>
        <v>38.21656051</v>
      </c>
      <c r="I52" s="32">
        <f t="shared" si="11"/>
        <v>10</v>
      </c>
      <c r="J52" s="45">
        <v>0.3795</v>
      </c>
      <c r="K52" s="84">
        <v>-5.1387</v>
      </c>
      <c r="L52" s="88">
        <f t="shared" si="12"/>
        <v>0.3795</v>
      </c>
      <c r="M52" s="10">
        <f t="shared" si="13"/>
        <v>13.54071146</v>
      </c>
      <c r="N52" s="10">
        <f t="shared" si="14"/>
        <v>13.12892828</v>
      </c>
      <c r="O52" s="6">
        <v>0.9666</v>
      </c>
      <c r="P52" s="1"/>
      <c r="Q52" s="5"/>
      <c r="R52" s="1"/>
      <c r="S52" s="5"/>
      <c r="T52" s="1"/>
      <c r="U52" s="1"/>
      <c r="V52" s="1"/>
      <c r="W52" s="89"/>
      <c r="X52" s="1"/>
      <c r="Y52" s="5"/>
      <c r="Z52" s="5"/>
      <c r="AA52" s="1"/>
      <c r="AB52" s="80"/>
      <c r="AC52" s="80"/>
      <c r="AD52" s="5"/>
      <c r="AE52" s="5"/>
      <c r="AF52" s="45">
        <v>19.0</v>
      </c>
      <c r="AG52" s="32">
        <v>20.0</v>
      </c>
      <c r="AH52" s="45">
        <v>4.5</v>
      </c>
      <c r="AI52" s="32">
        <f t="shared" si="23"/>
        <v>270</v>
      </c>
      <c r="AJ52" s="32">
        <f t="shared" si="24"/>
        <v>0.27</v>
      </c>
      <c r="AK52" s="32">
        <f t="shared" si="25"/>
        <v>7.065</v>
      </c>
      <c r="AL52" s="46">
        <f t="shared" si="26"/>
        <v>38.21656051</v>
      </c>
      <c r="AM52" s="32" t="str">
        <f t="shared" si="27"/>
        <v/>
      </c>
      <c r="AN52" s="45">
        <v>0.3795</v>
      </c>
      <c r="AO52" s="84">
        <v>-5.1387</v>
      </c>
      <c r="AP52" s="88">
        <f t="shared" si="28"/>
        <v>0.3795</v>
      </c>
      <c r="AQ52" s="10">
        <f t="shared" si="29"/>
        <v>13.54071146</v>
      </c>
      <c r="AR52" s="10">
        <f t="shared" si="30"/>
        <v>13.12892828</v>
      </c>
      <c r="AS52" s="6">
        <v>0.9666</v>
      </c>
      <c r="AT52" s="5"/>
      <c r="AU52" s="5"/>
    </row>
    <row r="53">
      <c r="A53" s="1"/>
      <c r="B53" s="45">
        <v>20.0</v>
      </c>
      <c r="C53" s="32">
        <v>20.0</v>
      </c>
      <c r="D53" s="45">
        <v>4.5</v>
      </c>
      <c r="E53" s="32">
        <f t="shared" si="7"/>
        <v>270</v>
      </c>
      <c r="F53" s="32">
        <f t="shared" si="8"/>
        <v>0.27</v>
      </c>
      <c r="G53" s="32">
        <f t="shared" si="9"/>
        <v>7.065</v>
      </c>
      <c r="H53" s="46">
        <f t="shared" si="10"/>
        <v>38.21656051</v>
      </c>
      <c r="I53" s="32">
        <f t="shared" si="11"/>
        <v>10</v>
      </c>
      <c r="J53" s="45">
        <v>0.3795</v>
      </c>
      <c r="K53" s="84">
        <v>-5.1387</v>
      </c>
      <c r="L53" s="88">
        <f t="shared" si="12"/>
        <v>0.3795</v>
      </c>
      <c r="M53" s="10">
        <f t="shared" si="13"/>
        <v>13.54071146</v>
      </c>
      <c r="N53" s="10">
        <f t="shared" si="14"/>
        <v>13.12892828</v>
      </c>
      <c r="O53" s="6">
        <v>0.9666</v>
      </c>
      <c r="P53" s="1"/>
      <c r="Q53" s="5"/>
      <c r="R53" s="1"/>
      <c r="S53" s="5"/>
      <c r="T53" s="1"/>
      <c r="U53" s="1"/>
      <c r="V53" s="1"/>
      <c r="W53" s="89"/>
      <c r="X53" s="1"/>
      <c r="Y53" s="5"/>
      <c r="Z53" s="5"/>
      <c r="AA53" s="1"/>
      <c r="AB53" s="80"/>
      <c r="AC53" s="80"/>
      <c r="AD53" s="5"/>
      <c r="AE53" s="5"/>
      <c r="AF53" s="45">
        <v>20.0</v>
      </c>
      <c r="AG53" s="32">
        <v>20.0</v>
      </c>
      <c r="AH53" s="45">
        <v>4.5</v>
      </c>
      <c r="AI53" s="32">
        <f t="shared" si="23"/>
        <v>270</v>
      </c>
      <c r="AJ53" s="32">
        <f t="shared" si="24"/>
        <v>0.27</v>
      </c>
      <c r="AK53" s="32">
        <f t="shared" si="25"/>
        <v>7.065</v>
      </c>
      <c r="AL53" s="46">
        <f t="shared" si="26"/>
        <v>38.21656051</v>
      </c>
      <c r="AM53" s="32" t="str">
        <f t="shared" si="27"/>
        <v/>
      </c>
      <c r="AN53" s="45">
        <v>0.3795</v>
      </c>
      <c r="AO53" s="84">
        <v>-5.1387</v>
      </c>
      <c r="AP53" s="88">
        <f t="shared" si="28"/>
        <v>0.3795</v>
      </c>
      <c r="AQ53" s="10">
        <f t="shared" si="29"/>
        <v>13.54071146</v>
      </c>
      <c r="AR53" s="10">
        <f t="shared" si="30"/>
        <v>13.12892828</v>
      </c>
      <c r="AS53" s="6">
        <v>0.9666</v>
      </c>
      <c r="AT53" s="5"/>
      <c r="AU53" s="5"/>
    </row>
    <row r="54">
      <c r="A54" s="1"/>
      <c r="B54" s="45">
        <v>21.0</v>
      </c>
      <c r="C54" s="32">
        <v>20.0</v>
      </c>
      <c r="D54" s="45">
        <v>4.5</v>
      </c>
      <c r="E54" s="32">
        <f t="shared" si="7"/>
        <v>270</v>
      </c>
      <c r="F54" s="32">
        <f t="shared" si="8"/>
        <v>0.27</v>
      </c>
      <c r="G54" s="32">
        <f t="shared" si="9"/>
        <v>7.065</v>
      </c>
      <c r="H54" s="46">
        <f t="shared" si="10"/>
        <v>38.21656051</v>
      </c>
      <c r="I54" s="32">
        <f t="shared" si="11"/>
        <v>10</v>
      </c>
      <c r="J54" s="45">
        <v>0.3795</v>
      </c>
      <c r="K54" s="84">
        <v>-5.1387</v>
      </c>
      <c r="L54" s="88">
        <f t="shared" si="12"/>
        <v>0.3795</v>
      </c>
      <c r="M54" s="10">
        <f t="shared" si="13"/>
        <v>13.54071146</v>
      </c>
      <c r="N54" s="10">
        <f t="shared" si="14"/>
        <v>13.12892828</v>
      </c>
      <c r="O54" s="6">
        <v>0.9666</v>
      </c>
      <c r="P54" s="1"/>
      <c r="Q54" s="5"/>
      <c r="R54" s="1"/>
      <c r="S54" s="5"/>
      <c r="T54" s="1"/>
      <c r="U54" s="1"/>
      <c r="V54" s="1"/>
      <c r="W54" s="89"/>
      <c r="X54" s="1"/>
      <c r="Y54" s="5"/>
      <c r="Z54" s="5"/>
      <c r="AA54" s="1"/>
      <c r="AB54" s="80"/>
      <c r="AC54" s="80"/>
      <c r="AD54" s="5"/>
      <c r="AE54" s="5"/>
      <c r="AF54" s="45">
        <v>21.0</v>
      </c>
      <c r="AG54" s="32">
        <v>20.0</v>
      </c>
      <c r="AH54" s="45">
        <v>4.5</v>
      </c>
      <c r="AI54" s="32">
        <f t="shared" si="23"/>
        <v>270</v>
      </c>
      <c r="AJ54" s="32">
        <f t="shared" si="24"/>
        <v>0.27</v>
      </c>
      <c r="AK54" s="32">
        <f t="shared" si="25"/>
        <v>7.065</v>
      </c>
      <c r="AL54" s="46">
        <f t="shared" si="26"/>
        <v>38.21656051</v>
      </c>
      <c r="AM54" s="32" t="str">
        <f t="shared" si="27"/>
        <v/>
      </c>
      <c r="AN54" s="45">
        <v>0.3795</v>
      </c>
      <c r="AO54" s="84">
        <v>-5.1387</v>
      </c>
      <c r="AP54" s="88">
        <f t="shared" si="28"/>
        <v>0.3795</v>
      </c>
      <c r="AQ54" s="10">
        <f t="shared" si="29"/>
        <v>13.54071146</v>
      </c>
      <c r="AR54" s="10">
        <f t="shared" si="30"/>
        <v>13.12892828</v>
      </c>
      <c r="AS54" s="6">
        <v>0.9666</v>
      </c>
      <c r="AT54" s="5"/>
      <c r="AU54" s="5"/>
    </row>
    <row r="55">
      <c r="A55" s="1"/>
      <c r="B55" s="45">
        <v>22.0</v>
      </c>
      <c r="C55" s="32">
        <v>20.0</v>
      </c>
      <c r="D55" s="45">
        <v>4.5</v>
      </c>
      <c r="E55" s="32">
        <f t="shared" si="7"/>
        <v>270</v>
      </c>
      <c r="F55" s="32">
        <f t="shared" si="8"/>
        <v>0.27</v>
      </c>
      <c r="G55" s="32">
        <f t="shared" si="9"/>
        <v>7.065</v>
      </c>
      <c r="H55" s="46">
        <f t="shared" si="10"/>
        <v>38.21656051</v>
      </c>
      <c r="I55" s="32">
        <f t="shared" si="11"/>
        <v>10</v>
      </c>
      <c r="J55" s="45">
        <v>0.3795</v>
      </c>
      <c r="K55" s="84">
        <v>-5.1387</v>
      </c>
      <c r="L55" s="88">
        <f t="shared" si="12"/>
        <v>0.3795</v>
      </c>
      <c r="M55" s="10">
        <f t="shared" si="13"/>
        <v>13.54071146</v>
      </c>
      <c r="N55" s="10">
        <f t="shared" si="14"/>
        <v>13.12892828</v>
      </c>
      <c r="O55" s="6">
        <v>0.9666</v>
      </c>
      <c r="P55" s="1"/>
      <c r="Q55" s="5"/>
      <c r="R55" s="1"/>
      <c r="S55" s="5"/>
      <c r="T55" s="1"/>
      <c r="U55" s="1"/>
      <c r="V55" s="1"/>
      <c r="W55" s="89"/>
      <c r="X55" s="1"/>
      <c r="Y55" s="5"/>
      <c r="Z55" s="5"/>
      <c r="AA55" s="1"/>
      <c r="AB55" s="80"/>
      <c r="AC55" s="80"/>
      <c r="AD55" s="5"/>
      <c r="AE55" s="5"/>
      <c r="AF55" s="45">
        <v>22.0</v>
      </c>
      <c r="AG55" s="32">
        <v>20.0</v>
      </c>
      <c r="AH55" s="45">
        <v>4.5</v>
      </c>
      <c r="AI55" s="32">
        <f t="shared" si="23"/>
        <v>270</v>
      </c>
      <c r="AJ55" s="32">
        <f t="shared" si="24"/>
        <v>0.27</v>
      </c>
      <c r="AK55" s="32">
        <f t="shared" si="25"/>
        <v>7.065</v>
      </c>
      <c r="AL55" s="46">
        <f t="shared" si="26"/>
        <v>38.21656051</v>
      </c>
      <c r="AM55" s="32" t="str">
        <f t="shared" si="27"/>
        <v/>
      </c>
      <c r="AN55" s="45">
        <v>0.3795</v>
      </c>
      <c r="AO55" s="84">
        <v>-5.1387</v>
      </c>
      <c r="AP55" s="88">
        <f t="shared" si="28"/>
        <v>0.3795</v>
      </c>
      <c r="AQ55" s="10">
        <f t="shared" si="29"/>
        <v>13.54071146</v>
      </c>
      <c r="AR55" s="10">
        <f t="shared" si="30"/>
        <v>13.12892828</v>
      </c>
      <c r="AS55" s="6">
        <v>0.9666</v>
      </c>
      <c r="AT55" s="5"/>
      <c r="AU55" s="5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</row>
  </sheetData>
  <mergeCells count="15">
    <mergeCell ref="Q23:V23"/>
    <mergeCell ref="Q24:V24"/>
    <mergeCell ref="I2:P2"/>
    <mergeCell ref="Q2:X2"/>
    <mergeCell ref="AF21:AK21"/>
    <mergeCell ref="AF20:AK20"/>
    <mergeCell ref="B2:G2"/>
    <mergeCell ref="AF2:AM2"/>
    <mergeCell ref="B27:G27"/>
    <mergeCell ref="B28:G28"/>
    <mergeCell ref="B31:O31"/>
    <mergeCell ref="Q31:AD31"/>
    <mergeCell ref="AF31:AS31"/>
    <mergeCell ref="Q25:V25"/>
    <mergeCell ref="AF19:AK1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59</v>
      </c>
      <c r="J2" s="2"/>
      <c r="K2" s="2"/>
      <c r="L2" s="2"/>
      <c r="M2" s="2"/>
      <c r="N2" s="2"/>
      <c r="O2" s="2"/>
      <c r="P2" s="2"/>
    </row>
    <row r="3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2"/>
      <c r="K3" s="2"/>
      <c r="L3" s="2"/>
      <c r="M3" s="2"/>
      <c r="N3" s="2"/>
      <c r="O3" s="2"/>
      <c r="P3" s="2"/>
    </row>
    <row r="4">
      <c r="B4" s="4" t="s">
        <v>9</v>
      </c>
      <c r="C4" s="4" t="s">
        <v>10</v>
      </c>
      <c r="D4" s="4" t="s">
        <v>11</v>
      </c>
      <c r="E4" s="4" t="s">
        <v>11</v>
      </c>
      <c r="F4" s="4"/>
      <c r="G4" s="4" t="s">
        <v>12</v>
      </c>
      <c r="H4" s="4"/>
      <c r="I4" s="4"/>
      <c r="J4" s="5"/>
      <c r="K4" s="5"/>
      <c r="L4" s="1"/>
      <c r="M4" s="1"/>
      <c r="N4" s="5"/>
      <c r="O4" s="5"/>
      <c r="P4" s="1"/>
    </row>
    <row r="5">
      <c r="B5" s="6">
        <v>1.0</v>
      </c>
      <c r="C5" s="6">
        <v>1.0</v>
      </c>
      <c r="D5" s="6">
        <v>10.0</v>
      </c>
      <c r="E5" s="7">
        <v>0.1232</v>
      </c>
      <c r="F5" s="8">
        <v>0.27</v>
      </c>
      <c r="G5" s="9">
        <v>0.99</v>
      </c>
      <c r="H5" s="10">
        <f t="shared" ref="H5:H26" si="1">LN(E5/D5)</f>
        <v>-4.396531321</v>
      </c>
      <c r="I5" s="11">
        <f t="shared" ref="I5:I26" si="2">E5/D5</f>
        <v>0.01232</v>
      </c>
      <c r="J5" s="5"/>
      <c r="K5" s="1"/>
      <c r="L5" s="1"/>
      <c r="M5" s="1"/>
      <c r="N5" s="1"/>
      <c r="O5" s="1"/>
      <c r="P5" s="1"/>
    </row>
    <row r="6">
      <c r="B6" s="6">
        <v>2.0</v>
      </c>
      <c r="C6" s="6">
        <v>2.0</v>
      </c>
      <c r="D6" s="6">
        <v>10.0</v>
      </c>
      <c r="E6" s="7">
        <v>0.2229</v>
      </c>
      <c r="F6" s="8">
        <v>0.54</v>
      </c>
      <c r="G6" s="9">
        <v>0.98</v>
      </c>
      <c r="H6" s="10">
        <f t="shared" si="1"/>
        <v>-3.803617132</v>
      </c>
      <c r="I6" s="11">
        <f t="shared" si="2"/>
        <v>0.02229</v>
      </c>
      <c r="J6" s="5"/>
      <c r="K6" s="1"/>
      <c r="L6" s="1"/>
      <c r="M6" s="1"/>
      <c r="N6" s="1"/>
      <c r="O6" s="1"/>
      <c r="P6" s="1"/>
    </row>
    <row r="7">
      <c r="B7" s="6">
        <v>3.0</v>
      </c>
      <c r="C7" s="6">
        <v>3.0</v>
      </c>
      <c r="D7" s="6">
        <v>10.0</v>
      </c>
      <c r="E7" s="7">
        <v>0.3133</v>
      </c>
      <c r="F7" s="8">
        <v>0.81</v>
      </c>
      <c r="G7" s="9">
        <v>0.97</v>
      </c>
      <c r="H7" s="10">
        <f t="shared" si="1"/>
        <v>-3.463179174</v>
      </c>
      <c r="I7" s="11">
        <f t="shared" si="2"/>
        <v>0.03133</v>
      </c>
      <c r="J7" s="5"/>
      <c r="K7" s="1"/>
      <c r="L7" s="1"/>
      <c r="M7" s="1"/>
      <c r="N7" s="1"/>
      <c r="O7" s="1"/>
      <c r="P7" s="1"/>
    </row>
    <row r="8">
      <c r="B8" s="6">
        <v>4.0</v>
      </c>
      <c r="C8" s="6">
        <v>4.0</v>
      </c>
      <c r="D8" s="6">
        <v>10.0</v>
      </c>
      <c r="E8" s="7">
        <v>0.3435</v>
      </c>
      <c r="F8" s="8">
        <v>1.08</v>
      </c>
      <c r="G8" s="9">
        <v>0.97</v>
      </c>
      <c r="H8" s="10">
        <f t="shared" si="1"/>
        <v>-3.37115326</v>
      </c>
      <c r="I8" s="11">
        <f t="shared" si="2"/>
        <v>0.03435</v>
      </c>
      <c r="J8" s="5"/>
      <c r="K8" s="1"/>
      <c r="L8" s="1"/>
      <c r="M8" s="1"/>
      <c r="N8" s="1"/>
      <c r="O8" s="1"/>
      <c r="P8" s="1"/>
    </row>
    <row r="9">
      <c r="B9" s="6">
        <v>5.0</v>
      </c>
      <c r="C9" s="6">
        <v>5.0</v>
      </c>
      <c r="D9" s="6">
        <v>10.0</v>
      </c>
      <c r="E9" s="7">
        <v>0.2948</v>
      </c>
      <c r="F9" s="8">
        <v>1.35</v>
      </c>
      <c r="G9" s="9">
        <v>0.97</v>
      </c>
      <c r="H9" s="10">
        <f t="shared" si="1"/>
        <v>-3.524043212</v>
      </c>
      <c r="I9" s="11">
        <f t="shared" si="2"/>
        <v>0.02948</v>
      </c>
      <c r="J9" s="5"/>
      <c r="K9" s="1"/>
      <c r="L9" s="1"/>
      <c r="M9" s="1"/>
      <c r="N9" s="1"/>
      <c r="O9" s="1"/>
      <c r="P9" s="1"/>
    </row>
    <row r="10">
      <c r="B10" s="6">
        <v>6.0</v>
      </c>
      <c r="C10" s="6">
        <v>6.0</v>
      </c>
      <c r="D10" s="6">
        <v>10.0</v>
      </c>
      <c r="E10" s="7">
        <v>0.3597</v>
      </c>
      <c r="F10" s="8">
        <v>1.62</v>
      </c>
      <c r="G10" s="9">
        <v>0.96</v>
      </c>
      <c r="H10" s="10">
        <f t="shared" si="1"/>
        <v>-3.325070021</v>
      </c>
      <c r="I10" s="11">
        <f t="shared" si="2"/>
        <v>0.03597</v>
      </c>
      <c r="J10" s="5"/>
      <c r="K10" s="1"/>
      <c r="L10" s="1"/>
      <c r="M10" s="1"/>
      <c r="N10" s="1"/>
      <c r="O10" s="1"/>
      <c r="P10" s="1"/>
    </row>
    <row r="11">
      <c r="B11" s="6">
        <v>7.0</v>
      </c>
      <c r="C11" s="6">
        <v>7.0</v>
      </c>
      <c r="D11" s="6">
        <v>10.0</v>
      </c>
      <c r="E11" s="7">
        <v>0.4223</v>
      </c>
      <c r="F11" s="8">
        <v>1.89</v>
      </c>
      <c r="G11" s="9">
        <v>0.96</v>
      </c>
      <c r="H11" s="10">
        <f t="shared" si="1"/>
        <v>-3.16462441</v>
      </c>
      <c r="I11" s="11">
        <f t="shared" si="2"/>
        <v>0.04223</v>
      </c>
      <c r="J11" s="5"/>
      <c r="K11" s="1"/>
      <c r="L11" s="1"/>
      <c r="M11" s="1"/>
      <c r="N11" s="1"/>
      <c r="O11" s="1"/>
      <c r="P11" s="1"/>
    </row>
    <row r="12">
      <c r="B12" s="6">
        <v>8.0</v>
      </c>
      <c r="C12" s="6">
        <v>8.0</v>
      </c>
      <c r="D12" s="6">
        <v>10.0</v>
      </c>
      <c r="E12" s="7">
        <v>0.4826</v>
      </c>
      <c r="F12" s="8">
        <v>2.16</v>
      </c>
      <c r="G12" s="9">
        <v>0.95</v>
      </c>
      <c r="H12" s="10">
        <f t="shared" si="1"/>
        <v>-3.031152219</v>
      </c>
      <c r="I12" s="11">
        <f t="shared" si="2"/>
        <v>0.04826</v>
      </c>
      <c r="J12" s="5"/>
      <c r="K12" s="1"/>
      <c r="L12" s="1"/>
      <c r="M12" s="1"/>
      <c r="N12" s="1"/>
      <c r="O12" s="1"/>
      <c r="P12" s="1"/>
    </row>
    <row r="13">
      <c r="B13" s="12">
        <v>9.0</v>
      </c>
      <c r="C13" s="12">
        <v>9.0</v>
      </c>
      <c r="D13" s="12">
        <v>10.0</v>
      </c>
      <c r="E13" s="13">
        <v>1.3374</v>
      </c>
      <c r="F13" s="14">
        <v>2.43</v>
      </c>
      <c r="G13" s="15">
        <v>0.87</v>
      </c>
      <c r="H13" s="16">
        <f t="shared" si="1"/>
        <v>-2.011857662</v>
      </c>
      <c r="I13" s="17">
        <f t="shared" si="2"/>
        <v>0.13374</v>
      </c>
      <c r="J13" s="5"/>
      <c r="K13" s="1"/>
      <c r="L13" s="1"/>
      <c r="M13" s="1"/>
      <c r="N13" s="1"/>
      <c r="O13" s="1"/>
      <c r="P13" s="1"/>
    </row>
    <row r="14">
      <c r="B14" s="6">
        <v>10.0</v>
      </c>
      <c r="C14" s="6">
        <v>10.0</v>
      </c>
      <c r="D14" s="6">
        <v>10.0</v>
      </c>
      <c r="E14" s="7">
        <v>2.0053</v>
      </c>
      <c r="F14" s="8">
        <v>2.7</v>
      </c>
      <c r="G14" s="9">
        <v>0.8</v>
      </c>
      <c r="H14" s="10">
        <f t="shared" si="1"/>
        <v>-1.606791417</v>
      </c>
      <c r="I14" s="11">
        <f t="shared" si="2"/>
        <v>0.20053</v>
      </c>
      <c r="J14" s="5"/>
      <c r="K14" s="1"/>
      <c r="L14" s="1"/>
      <c r="M14" s="1"/>
      <c r="N14" s="1"/>
      <c r="O14" s="1"/>
      <c r="P14" s="1"/>
    </row>
    <row r="15">
      <c r="B15" s="6">
        <v>11.0</v>
      </c>
      <c r="C15" s="6">
        <v>11.0</v>
      </c>
      <c r="D15" s="6">
        <v>10.0</v>
      </c>
      <c r="E15" s="7">
        <v>3.4663</v>
      </c>
      <c r="F15" s="8">
        <v>2.97</v>
      </c>
      <c r="G15" s="9">
        <v>0.65</v>
      </c>
      <c r="H15" s="10">
        <f t="shared" si="1"/>
        <v>-1.05949735</v>
      </c>
      <c r="I15" s="11">
        <f t="shared" si="2"/>
        <v>0.34663</v>
      </c>
      <c r="J15" s="5"/>
      <c r="K15" s="1"/>
      <c r="L15" s="1"/>
      <c r="M15" s="1"/>
      <c r="N15" s="1"/>
      <c r="O15" s="1"/>
      <c r="P15" s="1"/>
    </row>
    <row r="16">
      <c r="B16" s="6">
        <v>12.0</v>
      </c>
      <c r="C16" s="6">
        <v>12.0</v>
      </c>
      <c r="D16" s="6">
        <v>10.0</v>
      </c>
      <c r="E16" s="7">
        <v>3.1463</v>
      </c>
      <c r="F16" s="8">
        <v>3.24</v>
      </c>
      <c r="G16" s="9">
        <v>0.69</v>
      </c>
      <c r="H16" s="10">
        <f t="shared" si="1"/>
        <v>-1.156357934</v>
      </c>
      <c r="I16" s="11">
        <f t="shared" si="2"/>
        <v>0.31463</v>
      </c>
      <c r="J16" s="5"/>
      <c r="K16" s="1"/>
      <c r="L16" s="1"/>
      <c r="M16" s="1"/>
      <c r="N16" s="1"/>
      <c r="O16" s="1"/>
      <c r="P16" s="1"/>
    </row>
    <row r="17">
      <c r="B17" s="6">
        <v>13.0</v>
      </c>
      <c r="C17" s="6">
        <v>13.0</v>
      </c>
      <c r="D17" s="6">
        <v>10.0</v>
      </c>
      <c r="E17" s="7">
        <v>3.2019</v>
      </c>
      <c r="F17" s="8">
        <v>3.51</v>
      </c>
      <c r="G17" s="9">
        <v>0.68</v>
      </c>
      <c r="H17" s="10">
        <f t="shared" si="1"/>
        <v>-1.138840709</v>
      </c>
      <c r="I17" s="11">
        <f t="shared" si="2"/>
        <v>0.32019</v>
      </c>
      <c r="J17" s="5"/>
      <c r="K17" s="1"/>
      <c r="L17" s="1"/>
      <c r="M17" s="1"/>
      <c r="N17" s="1"/>
      <c r="O17" s="1"/>
      <c r="P17" s="1"/>
    </row>
    <row r="18">
      <c r="B18" s="6">
        <v>14.0</v>
      </c>
      <c r="C18" s="6">
        <v>14.0</v>
      </c>
      <c r="D18" s="6">
        <v>10.0</v>
      </c>
      <c r="E18" s="7">
        <v>5.1916</v>
      </c>
      <c r="F18" s="8">
        <v>3.78</v>
      </c>
      <c r="G18" s="9">
        <v>0.48</v>
      </c>
      <c r="H18" s="10">
        <f t="shared" si="1"/>
        <v>-0.6555431582</v>
      </c>
      <c r="I18" s="11">
        <f t="shared" si="2"/>
        <v>0.51916</v>
      </c>
      <c r="J18" s="5"/>
      <c r="K18" s="1"/>
      <c r="L18" s="1"/>
      <c r="M18" s="1"/>
      <c r="N18" s="1"/>
      <c r="O18" s="1"/>
      <c r="P18" s="1"/>
    </row>
    <row r="19">
      <c r="B19" s="6">
        <v>15.0</v>
      </c>
      <c r="C19" s="6">
        <v>15.0</v>
      </c>
      <c r="D19" s="6">
        <v>10.0</v>
      </c>
      <c r="E19" s="7">
        <v>6.1934</v>
      </c>
      <c r="F19" s="8">
        <v>4.05</v>
      </c>
      <c r="G19" s="9">
        <v>0.38</v>
      </c>
      <c r="H19" s="10">
        <f t="shared" si="1"/>
        <v>-0.4791008841</v>
      </c>
      <c r="I19" s="11">
        <f t="shared" si="2"/>
        <v>0.61934</v>
      </c>
      <c r="J19" s="5"/>
      <c r="K19" s="1"/>
      <c r="L19" s="1"/>
      <c r="M19" s="1"/>
      <c r="N19" s="1"/>
      <c r="O19" s="1"/>
      <c r="P19" s="1"/>
    </row>
    <row r="20">
      <c r="B20" s="6">
        <v>16.0</v>
      </c>
      <c r="C20" s="6">
        <v>16.0</v>
      </c>
      <c r="D20" s="6">
        <v>10.0</v>
      </c>
      <c r="E20" s="7">
        <v>6.9031</v>
      </c>
      <c r="F20" s="8">
        <v>4.32</v>
      </c>
      <c r="G20" s="9">
        <v>0.31</v>
      </c>
      <c r="H20" s="10">
        <f t="shared" si="1"/>
        <v>-0.3706145069</v>
      </c>
      <c r="I20" s="11">
        <f t="shared" si="2"/>
        <v>0.69031</v>
      </c>
      <c r="J20" s="5"/>
      <c r="K20" s="1"/>
      <c r="L20" s="1"/>
      <c r="M20" s="1"/>
      <c r="N20" s="1"/>
      <c r="O20" s="1"/>
      <c r="P20" s="1"/>
    </row>
    <row r="21">
      <c r="B21" s="6">
        <v>17.0</v>
      </c>
      <c r="C21" s="6">
        <v>17.0</v>
      </c>
      <c r="D21" s="6">
        <v>10.0</v>
      </c>
      <c r="E21" s="7">
        <v>8.0997</v>
      </c>
      <c r="F21" s="8">
        <v>4.59</v>
      </c>
      <c r="G21" s="9">
        <v>0.19</v>
      </c>
      <c r="H21" s="10">
        <f t="shared" si="1"/>
        <v>-0.210758069</v>
      </c>
      <c r="I21" s="11">
        <f t="shared" si="2"/>
        <v>0.80997</v>
      </c>
      <c r="J21" s="5"/>
      <c r="K21" s="1"/>
      <c r="L21" s="1"/>
      <c r="M21" s="1"/>
      <c r="N21" s="1"/>
      <c r="O21" s="1"/>
      <c r="P21" s="1"/>
    </row>
    <row r="22">
      <c r="B22" s="6">
        <v>18.0</v>
      </c>
      <c r="C22" s="6">
        <v>18.0</v>
      </c>
      <c r="D22" s="6">
        <v>10.0</v>
      </c>
      <c r="E22" s="7">
        <v>8.5449</v>
      </c>
      <c r="F22" s="8">
        <v>4.86</v>
      </c>
      <c r="G22" s="9">
        <v>0.15</v>
      </c>
      <c r="H22" s="10">
        <f t="shared" si="1"/>
        <v>-0.1572504792</v>
      </c>
      <c r="I22" s="11">
        <f t="shared" si="2"/>
        <v>0.85449</v>
      </c>
      <c r="J22" s="5"/>
      <c r="K22" s="1"/>
      <c r="L22" s="1"/>
      <c r="M22" s="1"/>
      <c r="N22" s="1"/>
      <c r="O22" s="1"/>
      <c r="P22" s="1"/>
    </row>
    <row r="23">
      <c r="B23" s="6">
        <v>19.0</v>
      </c>
      <c r="C23" s="6">
        <v>19.0</v>
      </c>
      <c r="D23" s="6">
        <v>10.0</v>
      </c>
      <c r="E23" s="7">
        <v>9.5189</v>
      </c>
      <c r="F23" s="8">
        <v>5.13</v>
      </c>
      <c r="G23" s="9">
        <v>0.05</v>
      </c>
      <c r="H23" s="10">
        <f t="shared" si="1"/>
        <v>-0.04930579709</v>
      </c>
      <c r="I23" s="11">
        <f t="shared" si="2"/>
        <v>0.95189</v>
      </c>
      <c r="J23" s="5"/>
      <c r="K23" s="1"/>
      <c r="L23" s="1"/>
      <c r="M23" s="1"/>
      <c r="N23" s="1"/>
      <c r="O23" s="1"/>
      <c r="P23" s="1"/>
    </row>
    <row r="24">
      <c r="B24" s="6">
        <v>20.0</v>
      </c>
      <c r="C24" s="6">
        <v>20.0</v>
      </c>
      <c r="D24" s="6">
        <v>10.0</v>
      </c>
      <c r="E24" s="7">
        <v>9.6024</v>
      </c>
      <c r="F24" s="8">
        <v>5.4</v>
      </c>
      <c r="G24" s="9">
        <v>0.04</v>
      </c>
      <c r="H24" s="10">
        <f t="shared" si="1"/>
        <v>-0.04057202577</v>
      </c>
      <c r="I24" s="11">
        <f t="shared" si="2"/>
        <v>0.96024</v>
      </c>
      <c r="J24" s="5"/>
      <c r="K24" s="1"/>
      <c r="L24" s="1"/>
      <c r="M24" s="1"/>
      <c r="N24" s="1"/>
      <c r="O24" s="1"/>
      <c r="P24" s="1"/>
    </row>
    <row r="25">
      <c r="B25" s="6">
        <v>21.0</v>
      </c>
      <c r="C25" s="6">
        <v>21.0</v>
      </c>
      <c r="D25" s="6">
        <v>10.0</v>
      </c>
      <c r="E25" s="7">
        <v>9.2545</v>
      </c>
      <c r="F25" s="8">
        <v>5.67</v>
      </c>
      <c r="G25" s="9">
        <v>0.07</v>
      </c>
      <c r="H25" s="10">
        <f t="shared" si="1"/>
        <v>-0.07747517328</v>
      </c>
      <c r="I25" s="11">
        <f t="shared" si="2"/>
        <v>0.92545</v>
      </c>
      <c r="J25" s="5"/>
      <c r="K25" s="1"/>
      <c r="L25" s="1"/>
      <c r="M25" s="1"/>
      <c r="N25" s="1"/>
      <c r="O25" s="1"/>
      <c r="P25" s="1"/>
    </row>
    <row r="26">
      <c r="B26" s="18">
        <v>22.0</v>
      </c>
      <c r="C26" s="18">
        <v>22.0</v>
      </c>
      <c r="D26" s="18">
        <v>10.0</v>
      </c>
      <c r="E26" s="19">
        <v>9.4911</v>
      </c>
      <c r="F26" s="20">
        <v>5.94</v>
      </c>
      <c r="G26" s="21">
        <v>0.05</v>
      </c>
      <c r="H26" s="22">
        <f t="shared" si="1"/>
        <v>-0.0522305756</v>
      </c>
      <c r="I26" s="23">
        <f t="shared" si="2"/>
        <v>0.94911</v>
      </c>
      <c r="J26" s="5"/>
      <c r="K26" s="1"/>
      <c r="L26" s="1"/>
      <c r="M26" s="1"/>
      <c r="N26" s="1"/>
      <c r="O26" s="1"/>
      <c r="P26" s="1"/>
    </row>
    <row r="27">
      <c r="B27" s="24" t="s">
        <v>13</v>
      </c>
      <c r="H27" s="1"/>
      <c r="I27" s="5"/>
      <c r="J27" s="1"/>
      <c r="K27" s="1"/>
      <c r="L27" s="1"/>
      <c r="M27" s="1"/>
      <c r="N27" s="1"/>
      <c r="O27" s="1"/>
      <c r="P27" s="1"/>
    </row>
    <row r="28">
      <c r="B28" s="25" t="s">
        <v>14</v>
      </c>
      <c r="H28" s="1"/>
      <c r="I28" s="5"/>
      <c r="J28" s="1"/>
      <c r="K28" s="1"/>
      <c r="L28" s="1"/>
      <c r="M28" s="1"/>
      <c r="N28" s="1"/>
      <c r="O28" s="1"/>
      <c r="P28" s="1"/>
    </row>
    <row r="31">
      <c r="B31" s="100"/>
    </row>
    <row r="32">
      <c r="B32" s="101" t="s">
        <v>16</v>
      </c>
      <c r="C32" s="102" t="s">
        <v>17</v>
      </c>
      <c r="D32" s="103" t="s">
        <v>18</v>
      </c>
      <c r="E32" s="103" t="s">
        <v>19</v>
      </c>
      <c r="F32" s="104"/>
      <c r="G32" s="103" t="s">
        <v>44</v>
      </c>
      <c r="H32" s="103" t="s">
        <v>45</v>
      </c>
      <c r="I32" s="103" t="s">
        <v>24</v>
      </c>
    </row>
    <row r="33">
      <c r="B33" s="105" t="s">
        <v>25</v>
      </c>
      <c r="C33" s="106" t="s">
        <v>26</v>
      </c>
      <c r="D33" s="106" t="s">
        <v>11</v>
      </c>
      <c r="E33" s="107"/>
      <c r="F33" s="107"/>
      <c r="G33" s="106" t="s">
        <v>39</v>
      </c>
      <c r="H33" s="106" t="s">
        <v>46</v>
      </c>
      <c r="I33" s="107"/>
    </row>
    <row r="34">
      <c r="B34" s="108">
        <v>20.0</v>
      </c>
      <c r="C34" s="108">
        <f t="shared" ref="C34:C55" si="3">4.5*0.06</f>
        <v>0.27</v>
      </c>
      <c r="D34" s="109"/>
      <c r="E34" s="109"/>
      <c r="F34" s="109"/>
      <c r="G34" s="109"/>
      <c r="H34" s="109"/>
      <c r="I34" s="109"/>
    </row>
    <row r="35">
      <c r="B35" s="108">
        <v>20.0</v>
      </c>
      <c r="C35" s="108">
        <f t="shared" si="3"/>
        <v>0.27</v>
      </c>
      <c r="D35" s="109"/>
      <c r="E35" s="109"/>
      <c r="F35" s="109"/>
      <c r="G35" s="109"/>
      <c r="H35" s="109"/>
      <c r="I35" s="109"/>
    </row>
    <row r="36">
      <c r="B36" s="108">
        <v>20.0</v>
      </c>
      <c r="C36" s="108">
        <f t="shared" si="3"/>
        <v>0.27</v>
      </c>
      <c r="D36" s="109"/>
      <c r="E36" s="109"/>
      <c r="F36" s="109"/>
      <c r="G36" s="109"/>
      <c r="H36" s="109"/>
      <c r="I36" s="109"/>
    </row>
    <row r="37">
      <c r="B37" s="108">
        <v>20.0</v>
      </c>
      <c r="C37" s="108">
        <f t="shared" si="3"/>
        <v>0.27</v>
      </c>
      <c r="D37" s="109"/>
      <c r="E37" s="109"/>
      <c r="F37" s="109"/>
      <c r="G37" s="109"/>
      <c r="H37" s="109"/>
      <c r="I37" s="109"/>
    </row>
    <row r="38">
      <c r="B38" s="108">
        <v>20.0</v>
      </c>
      <c r="C38" s="108">
        <f t="shared" si="3"/>
        <v>0.27</v>
      </c>
      <c r="D38" s="109"/>
      <c r="E38" s="109"/>
      <c r="F38" s="109"/>
      <c r="G38" s="109"/>
      <c r="H38" s="109"/>
      <c r="I38" s="109"/>
    </row>
    <row r="39">
      <c r="B39" s="108">
        <v>20.0</v>
      </c>
      <c r="C39" s="108">
        <f t="shared" si="3"/>
        <v>0.27</v>
      </c>
      <c r="D39" s="109"/>
      <c r="E39" s="109"/>
      <c r="F39" s="109"/>
      <c r="G39" s="109"/>
      <c r="H39" s="109"/>
      <c r="I39" s="109"/>
    </row>
    <row r="40">
      <c r="B40" s="108">
        <v>20.0</v>
      </c>
      <c r="C40" s="108">
        <f t="shared" si="3"/>
        <v>0.27</v>
      </c>
      <c r="D40" s="109"/>
      <c r="E40" s="109"/>
      <c r="F40" s="109"/>
      <c r="G40" s="109"/>
      <c r="H40" s="109"/>
      <c r="I40" s="109"/>
    </row>
    <row r="41">
      <c r="B41" s="108">
        <v>20.0</v>
      </c>
      <c r="C41" s="108">
        <f t="shared" si="3"/>
        <v>0.27</v>
      </c>
      <c r="D41" s="109"/>
      <c r="E41" s="109"/>
      <c r="F41" s="109"/>
      <c r="G41" s="109"/>
      <c r="H41" s="109"/>
      <c r="I41" s="109"/>
    </row>
    <row r="42">
      <c r="B42" s="108">
        <v>20.0</v>
      </c>
      <c r="C42" s="108">
        <f t="shared" si="3"/>
        <v>0.27</v>
      </c>
      <c r="D42" s="109"/>
      <c r="E42" s="109"/>
      <c r="F42" s="109"/>
      <c r="G42" s="109"/>
      <c r="H42" s="109"/>
      <c r="I42" s="109"/>
    </row>
    <row r="43">
      <c r="B43" s="108">
        <v>20.0</v>
      </c>
      <c r="C43" s="108">
        <f t="shared" si="3"/>
        <v>0.27</v>
      </c>
      <c r="D43" s="109"/>
      <c r="E43" s="109"/>
      <c r="F43" s="109"/>
      <c r="G43" s="109"/>
      <c r="H43" s="109"/>
      <c r="I43" s="109"/>
    </row>
    <row r="44">
      <c r="B44" s="108">
        <v>20.0</v>
      </c>
      <c r="C44" s="108">
        <f t="shared" si="3"/>
        <v>0.27</v>
      </c>
      <c r="D44" s="109"/>
      <c r="E44" s="109"/>
      <c r="F44" s="109"/>
      <c r="G44" s="109"/>
      <c r="H44" s="109"/>
      <c r="I44" s="109"/>
    </row>
    <row r="45">
      <c r="B45" s="108">
        <v>20.0</v>
      </c>
      <c r="C45" s="108">
        <f t="shared" si="3"/>
        <v>0.27</v>
      </c>
      <c r="D45" s="109"/>
      <c r="E45" s="109"/>
      <c r="F45" s="109"/>
      <c r="G45" s="109"/>
      <c r="H45" s="109"/>
      <c r="I45" s="109"/>
    </row>
    <row r="46">
      <c r="B46" s="108">
        <v>20.0</v>
      </c>
      <c r="C46" s="108">
        <f t="shared" si="3"/>
        <v>0.27</v>
      </c>
      <c r="D46" s="109"/>
      <c r="E46" s="109"/>
      <c r="F46" s="109"/>
      <c r="G46" s="109"/>
      <c r="H46" s="109"/>
      <c r="I46" s="109"/>
    </row>
    <row r="47">
      <c r="B47" s="108">
        <v>20.0</v>
      </c>
      <c r="C47" s="108">
        <f t="shared" si="3"/>
        <v>0.27</v>
      </c>
      <c r="D47" s="109"/>
      <c r="E47" s="109"/>
      <c r="F47" s="109"/>
      <c r="G47" s="109"/>
      <c r="H47" s="109"/>
      <c r="I47" s="109"/>
    </row>
    <row r="48">
      <c r="B48" s="108">
        <v>20.0</v>
      </c>
      <c r="C48" s="108">
        <f t="shared" si="3"/>
        <v>0.27</v>
      </c>
      <c r="D48" s="109"/>
      <c r="E48" s="109"/>
      <c r="F48" s="109"/>
      <c r="G48" s="109"/>
      <c r="H48" s="109"/>
      <c r="I48" s="109"/>
    </row>
    <row r="49">
      <c r="B49" s="108">
        <v>20.0</v>
      </c>
      <c r="C49" s="108">
        <f t="shared" si="3"/>
        <v>0.27</v>
      </c>
      <c r="D49" s="109"/>
      <c r="E49" s="109"/>
      <c r="F49" s="109"/>
      <c r="G49" s="109"/>
      <c r="H49" s="109"/>
      <c r="I49" s="109"/>
    </row>
    <row r="50">
      <c r="B50" s="108">
        <v>20.0</v>
      </c>
      <c r="C50" s="108">
        <f t="shared" si="3"/>
        <v>0.27</v>
      </c>
      <c r="D50" s="109"/>
      <c r="E50" s="109"/>
      <c r="F50" s="109"/>
      <c r="G50" s="109"/>
      <c r="H50" s="109"/>
      <c r="I50" s="109"/>
    </row>
    <row r="51">
      <c r="B51" s="108">
        <v>20.0</v>
      </c>
      <c r="C51" s="108">
        <f t="shared" si="3"/>
        <v>0.27</v>
      </c>
      <c r="D51" s="109"/>
      <c r="E51" s="109"/>
      <c r="F51" s="109"/>
      <c r="G51" s="109"/>
      <c r="H51" s="109"/>
      <c r="I51" s="109"/>
    </row>
    <row r="52">
      <c r="B52" s="108">
        <v>20.0</v>
      </c>
      <c r="C52" s="108">
        <f t="shared" si="3"/>
        <v>0.27</v>
      </c>
      <c r="D52" s="109"/>
      <c r="E52" s="109"/>
      <c r="F52" s="109"/>
      <c r="G52" s="109"/>
      <c r="H52" s="109"/>
      <c r="I52" s="109"/>
    </row>
    <row r="53">
      <c r="B53" s="108">
        <v>20.0</v>
      </c>
      <c r="C53" s="108">
        <f t="shared" si="3"/>
        <v>0.27</v>
      </c>
      <c r="D53" s="109"/>
      <c r="E53" s="109"/>
      <c r="F53" s="109"/>
      <c r="G53" s="109"/>
      <c r="H53" s="109"/>
      <c r="I53" s="109"/>
    </row>
    <row r="54">
      <c r="B54" s="108">
        <v>20.0</v>
      </c>
      <c r="C54" s="108">
        <f t="shared" si="3"/>
        <v>0.27</v>
      </c>
      <c r="D54" s="109"/>
      <c r="E54" s="109"/>
      <c r="F54" s="109"/>
      <c r="G54" s="109"/>
      <c r="H54" s="109"/>
      <c r="I54" s="109"/>
    </row>
    <row r="55">
      <c r="B55" s="108">
        <v>20.0</v>
      </c>
      <c r="C55" s="108">
        <f t="shared" si="3"/>
        <v>0.27</v>
      </c>
      <c r="D55" s="109"/>
      <c r="E55" s="109"/>
      <c r="F55" s="109"/>
      <c r="G55" s="109"/>
      <c r="H55" s="109"/>
      <c r="I55" s="109"/>
    </row>
  </sheetData>
  <mergeCells count="4">
    <mergeCell ref="B27:G27"/>
    <mergeCell ref="B28:G28"/>
    <mergeCell ref="B31:I31"/>
    <mergeCell ref="B2:I2"/>
  </mergeCells>
  <drawing r:id="rId1"/>
</worksheet>
</file>