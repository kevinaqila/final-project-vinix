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9CBA2CD-51E8-4306-B7B7-65BADC34E9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ams Bohart" sheetId="4" r:id="rId1"/>
    <sheet name="Yoon-Nelson" sheetId="5" r:id="rId2"/>
    <sheet name="Thomas" sheetId="6" r:id="rId3"/>
    <sheet name="Kurva Breaktrough" sheetId="7" r:id="rId4"/>
  </sheets>
  <definedNames>
    <definedName name="_xlchart.v1.0" hidden="1">'Adams Bohart'!$AE$5:$AE$18</definedName>
    <definedName name="_xlchart.v1.1" hidden="1">'Adams Bohart'!$AJ$5:$AJ$18</definedName>
    <definedName name="_xlchart.v1.2" hidden="1">'Adams Bohart'!$C$5:$C$26</definedName>
    <definedName name="_xlchart.v1.3" hidden="1">'Adams Bohart'!$H$5:$H$26</definedName>
    <definedName name="_xlchart.v1.4" hidden="1">'Adams Bohart'!$Q$5:$Q$22</definedName>
    <definedName name="_xlchart.v1.5" hidden="1">'Adams Bohart'!$V$5:$V$22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6" l="1"/>
  <c r="X52" i="7"/>
  <c r="X51" i="7"/>
  <c r="D52" i="7"/>
  <c r="N52" i="7"/>
  <c r="X49" i="7"/>
  <c r="X48" i="7"/>
  <c r="X50" i="7"/>
  <c r="N51" i="7"/>
  <c r="N49" i="7"/>
  <c r="N48" i="7"/>
  <c r="AC18" i="7"/>
  <c r="AB18" i="7"/>
  <c r="AC17" i="7"/>
  <c r="AB17" i="7"/>
  <c r="AC16" i="7"/>
  <c r="AB16" i="7"/>
  <c r="AC15" i="7"/>
  <c r="AB15" i="7"/>
  <c r="AC14" i="7"/>
  <c r="AB14" i="7"/>
  <c r="AC13" i="7"/>
  <c r="AB13" i="7"/>
  <c r="AC12" i="7"/>
  <c r="AB12" i="7"/>
  <c r="AC11" i="7"/>
  <c r="AB11" i="7"/>
  <c r="AC10" i="7"/>
  <c r="AB10" i="7"/>
  <c r="AC9" i="7"/>
  <c r="AB9" i="7"/>
  <c r="AC8" i="7"/>
  <c r="AB8" i="7"/>
  <c r="AC7" i="7"/>
  <c r="AB7" i="7"/>
  <c r="AC6" i="7"/>
  <c r="AB6" i="7"/>
  <c r="AC5" i="7"/>
  <c r="AB5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D51" i="7"/>
  <c r="D50" i="7"/>
  <c r="D49" i="7"/>
  <c r="D48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5" i="6"/>
  <c r="N50" i="7" l="1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5" i="6"/>
  <c r="W51" i="6"/>
  <c r="V51" i="6"/>
  <c r="U51" i="6"/>
  <c r="S51" i="6"/>
  <c r="T51" i="6" s="1"/>
  <c r="W50" i="6"/>
  <c r="U50" i="6"/>
  <c r="S50" i="6"/>
  <c r="T50" i="6" s="1"/>
  <c r="W49" i="6"/>
  <c r="U49" i="6"/>
  <c r="T49" i="6"/>
  <c r="Z49" i="6" s="1"/>
  <c r="S49" i="6"/>
  <c r="V49" i="6" s="1"/>
  <c r="W48" i="6"/>
  <c r="U48" i="6"/>
  <c r="S48" i="6"/>
  <c r="V48" i="6" s="1"/>
  <c r="W47" i="6"/>
  <c r="V47" i="6"/>
  <c r="U47" i="6"/>
  <c r="S47" i="6"/>
  <c r="T47" i="6" s="1"/>
  <c r="W46" i="6"/>
  <c r="U46" i="6"/>
  <c r="T46" i="6"/>
  <c r="Z46" i="6" s="1"/>
  <c r="AA46" i="6" s="1"/>
  <c r="S46" i="6"/>
  <c r="V46" i="6" s="1"/>
  <c r="W45" i="6"/>
  <c r="U45" i="6"/>
  <c r="T45" i="6"/>
  <c r="Z45" i="6" s="1"/>
  <c r="S45" i="6"/>
  <c r="V45" i="6" s="1"/>
  <c r="W44" i="6"/>
  <c r="U44" i="6"/>
  <c r="S44" i="6"/>
  <c r="V44" i="6" s="1"/>
  <c r="W43" i="6"/>
  <c r="V43" i="6"/>
  <c r="U43" i="6"/>
  <c r="S43" i="6"/>
  <c r="T43" i="6" s="1"/>
  <c r="W42" i="6"/>
  <c r="U42" i="6"/>
  <c r="T42" i="6"/>
  <c r="Z42" i="6" s="1"/>
  <c r="AA42" i="6" s="1"/>
  <c r="S42" i="6"/>
  <c r="V42" i="6" s="1"/>
  <c r="W41" i="6"/>
  <c r="U41" i="6"/>
  <c r="T41" i="6"/>
  <c r="Z41" i="6" s="1"/>
  <c r="S41" i="6"/>
  <c r="V41" i="6" s="1"/>
  <c r="W40" i="6"/>
  <c r="U40" i="6"/>
  <c r="S40" i="6"/>
  <c r="V40" i="6" s="1"/>
  <c r="W39" i="6"/>
  <c r="V39" i="6"/>
  <c r="U39" i="6"/>
  <c r="T39" i="6"/>
  <c r="S39" i="6"/>
  <c r="W38" i="6"/>
  <c r="U38" i="6"/>
  <c r="S38" i="6"/>
  <c r="T38" i="6" s="1"/>
  <c r="W37" i="6"/>
  <c r="U37" i="6"/>
  <c r="T37" i="6"/>
  <c r="Z37" i="6" s="1"/>
  <c r="S37" i="6"/>
  <c r="V37" i="6" s="1"/>
  <c r="W36" i="6"/>
  <c r="U36" i="6"/>
  <c r="S36" i="6"/>
  <c r="V36" i="6" s="1"/>
  <c r="W35" i="6"/>
  <c r="V35" i="6"/>
  <c r="U35" i="6"/>
  <c r="S35" i="6"/>
  <c r="T35" i="6" s="1"/>
  <c r="W34" i="6"/>
  <c r="U34" i="6"/>
  <c r="S34" i="6"/>
  <c r="T34" i="6" s="1"/>
  <c r="L34" i="6"/>
  <c r="M34" i="6" s="1"/>
  <c r="L35" i="6"/>
  <c r="M35" i="6"/>
  <c r="L36" i="6"/>
  <c r="M36" i="6" s="1"/>
  <c r="L37" i="6"/>
  <c r="M37" i="6"/>
  <c r="L38" i="6"/>
  <c r="M38" i="6" s="1"/>
  <c r="L39" i="6"/>
  <c r="M39" i="6"/>
  <c r="L40" i="6"/>
  <c r="M40" i="6" s="1"/>
  <c r="L41" i="6"/>
  <c r="M41" i="6"/>
  <c r="L42" i="6"/>
  <c r="M42" i="6" s="1"/>
  <c r="L43" i="6"/>
  <c r="M43" i="6"/>
  <c r="L44" i="6"/>
  <c r="M44" i="6" s="1"/>
  <c r="L45" i="6"/>
  <c r="M45" i="6"/>
  <c r="L46" i="6"/>
  <c r="M46" i="6"/>
  <c r="L47" i="6"/>
  <c r="M47" i="6"/>
  <c r="L48" i="6"/>
  <c r="M48" i="6"/>
  <c r="L49" i="6"/>
  <c r="M49" i="6"/>
  <c r="L50" i="6"/>
  <c r="M50" i="6"/>
  <c r="L51" i="6"/>
  <c r="M51" i="6"/>
  <c r="AK47" i="6"/>
  <c r="AJ47" i="6"/>
  <c r="AI47" i="6"/>
  <c r="AG47" i="6"/>
  <c r="AH47" i="6" s="1"/>
  <c r="AK46" i="6"/>
  <c r="AI46" i="6"/>
  <c r="AJ46" i="6" s="1"/>
  <c r="AG46" i="6"/>
  <c r="AH46" i="6" s="1"/>
  <c r="AK45" i="6"/>
  <c r="AI45" i="6"/>
  <c r="AH45" i="6"/>
  <c r="AG45" i="6"/>
  <c r="AJ45" i="6" s="1"/>
  <c r="AK44" i="6"/>
  <c r="AI44" i="6"/>
  <c r="AG44" i="6"/>
  <c r="AJ44" i="6" s="1"/>
  <c r="AK43" i="6"/>
  <c r="AJ43" i="6"/>
  <c r="AI43" i="6"/>
  <c r="AG43" i="6"/>
  <c r="AH43" i="6" s="1"/>
  <c r="AK42" i="6"/>
  <c r="AI42" i="6"/>
  <c r="AJ42" i="6" s="1"/>
  <c r="AG42" i="6"/>
  <c r="AH42" i="6" s="1"/>
  <c r="AK41" i="6"/>
  <c r="AI41" i="6"/>
  <c r="AJ41" i="6" s="1"/>
  <c r="AH41" i="6"/>
  <c r="AG41" i="6"/>
  <c r="AK40" i="6"/>
  <c r="AI40" i="6"/>
  <c r="AG40" i="6"/>
  <c r="AJ40" i="6" s="1"/>
  <c r="AK39" i="6"/>
  <c r="AJ39" i="6"/>
  <c r="AI39" i="6"/>
  <c r="AG39" i="6"/>
  <c r="AH39" i="6" s="1"/>
  <c r="AK38" i="6"/>
  <c r="AI38" i="6"/>
  <c r="AJ38" i="6" s="1"/>
  <c r="AG38" i="6"/>
  <c r="AH38" i="6" s="1"/>
  <c r="AK37" i="6"/>
  <c r="AI37" i="6"/>
  <c r="AJ37" i="6" s="1"/>
  <c r="AH37" i="6"/>
  <c r="AG37" i="6"/>
  <c r="AK36" i="6"/>
  <c r="AI36" i="6"/>
  <c r="AG36" i="6"/>
  <c r="AJ36" i="6" s="1"/>
  <c r="AK35" i="6"/>
  <c r="AJ35" i="6"/>
  <c r="AI35" i="6"/>
  <c r="AG35" i="6"/>
  <c r="AH35" i="6" s="1"/>
  <c r="AK34" i="6"/>
  <c r="AI34" i="6"/>
  <c r="AJ34" i="6" s="1"/>
  <c r="AG34" i="6"/>
  <c r="AH34" i="6" s="1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M52" i="6"/>
  <c r="M53" i="6"/>
  <c r="M54" i="6"/>
  <c r="M55" i="6"/>
  <c r="L52" i="6"/>
  <c r="L53" i="6"/>
  <c r="L54" i="6"/>
  <c r="L55" i="6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34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5" i="5"/>
  <c r="H13" i="5"/>
  <c r="H14" i="5"/>
  <c r="H6" i="5"/>
  <c r="H7" i="5"/>
  <c r="H8" i="5"/>
  <c r="H9" i="5"/>
  <c r="H10" i="5"/>
  <c r="H11" i="5"/>
  <c r="H12" i="5"/>
  <c r="H15" i="5"/>
  <c r="H16" i="5"/>
  <c r="H17" i="5"/>
  <c r="H18" i="5"/>
  <c r="H19" i="5"/>
  <c r="H20" i="5"/>
  <c r="H21" i="5"/>
  <c r="H22" i="5"/>
  <c r="H23" i="5"/>
  <c r="H24" i="5"/>
  <c r="H25" i="5"/>
  <c r="H26" i="5"/>
  <c r="H5" i="5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I55" i="6"/>
  <c r="G55" i="6"/>
  <c r="H55" i="6" s="1"/>
  <c r="F55" i="6"/>
  <c r="E55" i="6"/>
  <c r="I54" i="6"/>
  <c r="H54" i="6"/>
  <c r="G54" i="6"/>
  <c r="E54" i="6"/>
  <c r="F54" i="6" s="1"/>
  <c r="I53" i="6"/>
  <c r="G53" i="6"/>
  <c r="H53" i="6" s="1"/>
  <c r="F53" i="6"/>
  <c r="E53" i="6"/>
  <c r="I52" i="6"/>
  <c r="H52" i="6"/>
  <c r="G52" i="6"/>
  <c r="E52" i="6"/>
  <c r="F52" i="6" s="1"/>
  <c r="I51" i="6"/>
  <c r="G51" i="6"/>
  <c r="H51" i="6" s="1"/>
  <c r="F51" i="6"/>
  <c r="E51" i="6"/>
  <c r="I50" i="6"/>
  <c r="H50" i="6"/>
  <c r="G50" i="6"/>
  <c r="E50" i="6"/>
  <c r="F50" i="6" s="1"/>
  <c r="I49" i="6"/>
  <c r="G49" i="6"/>
  <c r="H49" i="6" s="1"/>
  <c r="F49" i="6"/>
  <c r="E49" i="6"/>
  <c r="I48" i="6"/>
  <c r="H48" i="6"/>
  <c r="G48" i="6"/>
  <c r="E48" i="6"/>
  <c r="F48" i="6" s="1"/>
  <c r="I47" i="6"/>
  <c r="G47" i="6"/>
  <c r="H47" i="6" s="1"/>
  <c r="F47" i="6"/>
  <c r="E47" i="6"/>
  <c r="I46" i="6"/>
  <c r="H46" i="6"/>
  <c r="G46" i="6"/>
  <c r="E46" i="6"/>
  <c r="F46" i="6" s="1"/>
  <c r="I45" i="6"/>
  <c r="G45" i="6"/>
  <c r="H45" i="6" s="1"/>
  <c r="F45" i="6"/>
  <c r="E45" i="6"/>
  <c r="I44" i="6"/>
  <c r="H44" i="6"/>
  <c r="G44" i="6"/>
  <c r="E44" i="6"/>
  <c r="F44" i="6" s="1"/>
  <c r="I43" i="6"/>
  <c r="G43" i="6"/>
  <c r="H43" i="6" s="1"/>
  <c r="F43" i="6"/>
  <c r="E43" i="6"/>
  <c r="I42" i="6"/>
  <c r="H42" i="6"/>
  <c r="G42" i="6"/>
  <c r="E42" i="6"/>
  <c r="F42" i="6" s="1"/>
  <c r="I41" i="6"/>
  <c r="G41" i="6"/>
  <c r="H41" i="6" s="1"/>
  <c r="F41" i="6"/>
  <c r="E41" i="6"/>
  <c r="I40" i="6"/>
  <c r="H40" i="6"/>
  <c r="G40" i="6"/>
  <c r="E40" i="6"/>
  <c r="F40" i="6" s="1"/>
  <c r="I39" i="6"/>
  <c r="G39" i="6"/>
  <c r="H39" i="6" s="1"/>
  <c r="F39" i="6"/>
  <c r="E39" i="6"/>
  <c r="I38" i="6"/>
  <c r="H38" i="6"/>
  <c r="G38" i="6"/>
  <c r="E38" i="6"/>
  <c r="F38" i="6" s="1"/>
  <c r="I37" i="6"/>
  <c r="G37" i="6"/>
  <c r="H37" i="6" s="1"/>
  <c r="F37" i="6"/>
  <c r="E37" i="6"/>
  <c r="I36" i="6"/>
  <c r="H36" i="6"/>
  <c r="G36" i="6"/>
  <c r="E36" i="6"/>
  <c r="F36" i="6" s="1"/>
  <c r="I35" i="6"/>
  <c r="G35" i="6"/>
  <c r="H35" i="6" s="1"/>
  <c r="F35" i="6"/>
  <c r="E35" i="6"/>
  <c r="I34" i="6"/>
  <c r="H34" i="6"/>
  <c r="G34" i="6"/>
  <c r="E34" i="6"/>
  <c r="F34" i="6" s="1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L55" i="5"/>
  <c r="M55" i="5" s="1"/>
  <c r="G55" i="5"/>
  <c r="E55" i="5"/>
  <c r="F55" i="5" s="1"/>
  <c r="L54" i="5"/>
  <c r="M54" i="5" s="1"/>
  <c r="G54" i="5"/>
  <c r="E54" i="5"/>
  <c r="H54" i="5" s="1"/>
  <c r="L53" i="5"/>
  <c r="M53" i="5" s="1"/>
  <c r="G53" i="5"/>
  <c r="E53" i="5"/>
  <c r="F53" i="5" s="1"/>
  <c r="L52" i="5"/>
  <c r="M52" i="5" s="1"/>
  <c r="G52" i="5"/>
  <c r="F52" i="5"/>
  <c r="E52" i="5"/>
  <c r="H52" i="5" s="1"/>
  <c r="AA51" i="5"/>
  <c r="AB51" i="5" s="1"/>
  <c r="X51" i="5"/>
  <c r="V51" i="5"/>
  <c r="T51" i="5"/>
  <c r="U51" i="5" s="1"/>
  <c r="L51" i="5"/>
  <c r="M51" i="5" s="1"/>
  <c r="G51" i="5"/>
  <c r="E51" i="5"/>
  <c r="F51" i="5" s="1"/>
  <c r="AA50" i="5"/>
  <c r="AB50" i="5" s="1"/>
  <c r="X50" i="5"/>
  <c r="V50" i="5"/>
  <c r="T50" i="5"/>
  <c r="L50" i="5"/>
  <c r="M50" i="5" s="1"/>
  <c r="G50" i="5"/>
  <c r="E50" i="5"/>
  <c r="F50" i="5" s="1"/>
  <c r="AA49" i="5"/>
  <c r="AB49" i="5" s="1"/>
  <c r="X49" i="5"/>
  <c r="W49" i="5"/>
  <c r="V49" i="5"/>
  <c r="T49" i="5"/>
  <c r="U49" i="5" s="1"/>
  <c r="L49" i="5"/>
  <c r="M49" i="5" s="1"/>
  <c r="G49" i="5"/>
  <c r="E49" i="5"/>
  <c r="H49" i="5" s="1"/>
  <c r="AA48" i="5"/>
  <c r="AB48" i="5" s="1"/>
  <c r="X48" i="5"/>
  <c r="V48" i="5"/>
  <c r="T48" i="5"/>
  <c r="U48" i="5" s="1"/>
  <c r="L48" i="5"/>
  <c r="M48" i="5" s="1"/>
  <c r="G48" i="5"/>
  <c r="H48" i="5" s="1"/>
  <c r="F48" i="5"/>
  <c r="E48" i="5"/>
  <c r="AP47" i="5"/>
  <c r="AQ47" i="5" s="1"/>
  <c r="AM47" i="5"/>
  <c r="AK47" i="5"/>
  <c r="AI47" i="5"/>
  <c r="AA47" i="5"/>
  <c r="AB47" i="5" s="1"/>
  <c r="X47" i="5"/>
  <c r="V47" i="5"/>
  <c r="T47" i="5"/>
  <c r="U47" i="5" s="1"/>
  <c r="L47" i="5"/>
  <c r="M47" i="5" s="1"/>
  <c r="G47" i="5"/>
  <c r="E47" i="5"/>
  <c r="F47" i="5" s="1"/>
  <c r="AP46" i="5"/>
  <c r="AQ46" i="5" s="1"/>
  <c r="AM46" i="5"/>
  <c r="AK46" i="5"/>
  <c r="AL46" i="5" s="1"/>
  <c r="AJ46" i="5"/>
  <c r="AI46" i="5"/>
  <c r="AA46" i="5"/>
  <c r="AB46" i="5" s="1"/>
  <c r="X46" i="5"/>
  <c r="V46" i="5"/>
  <c r="T46" i="5"/>
  <c r="W46" i="5" s="1"/>
  <c r="L46" i="5"/>
  <c r="M46" i="5" s="1"/>
  <c r="G46" i="5"/>
  <c r="E46" i="5"/>
  <c r="F46" i="5" s="1"/>
  <c r="AP45" i="5"/>
  <c r="AQ45" i="5" s="1"/>
  <c r="AM45" i="5"/>
  <c r="AL45" i="5"/>
  <c r="AK45" i="5"/>
  <c r="AI45" i="5"/>
  <c r="AJ45" i="5" s="1"/>
  <c r="AA45" i="5"/>
  <c r="AB45" i="5" s="1"/>
  <c r="X45" i="5"/>
  <c r="V45" i="5"/>
  <c r="T45" i="5"/>
  <c r="W45" i="5" s="1"/>
  <c r="L45" i="5"/>
  <c r="M45" i="5" s="1"/>
  <c r="G45" i="5"/>
  <c r="E45" i="5"/>
  <c r="H45" i="5" s="1"/>
  <c r="AP44" i="5"/>
  <c r="AQ44" i="5" s="1"/>
  <c r="AM44" i="5"/>
  <c r="AK44" i="5"/>
  <c r="AL44" i="5" s="1"/>
  <c r="AI44" i="5"/>
  <c r="AJ44" i="5" s="1"/>
  <c r="AA44" i="5"/>
  <c r="AB44" i="5" s="1"/>
  <c r="X44" i="5"/>
  <c r="W44" i="5"/>
  <c r="V44" i="5"/>
  <c r="T44" i="5"/>
  <c r="U44" i="5" s="1"/>
  <c r="L44" i="5"/>
  <c r="M44" i="5" s="1"/>
  <c r="G44" i="5"/>
  <c r="F44" i="5"/>
  <c r="E44" i="5"/>
  <c r="H44" i="5" s="1"/>
  <c r="AP43" i="5"/>
  <c r="AQ43" i="5" s="1"/>
  <c r="AM43" i="5"/>
  <c r="AK43" i="5"/>
  <c r="AI43" i="5"/>
  <c r="AA43" i="5"/>
  <c r="AB43" i="5" s="1"/>
  <c r="X43" i="5"/>
  <c r="V43" i="5"/>
  <c r="T43" i="5"/>
  <c r="U43" i="5" s="1"/>
  <c r="L43" i="5"/>
  <c r="M43" i="5" s="1"/>
  <c r="H43" i="5"/>
  <c r="G43" i="5"/>
  <c r="E43" i="5"/>
  <c r="F43" i="5" s="1"/>
  <c r="AP42" i="5"/>
  <c r="AQ42" i="5" s="1"/>
  <c r="AM42" i="5"/>
  <c r="AK42" i="5"/>
  <c r="AJ42" i="5"/>
  <c r="AI42" i="5"/>
  <c r="AL42" i="5" s="1"/>
  <c r="AA42" i="5"/>
  <c r="AB42" i="5" s="1"/>
  <c r="X42" i="5"/>
  <c r="V42" i="5"/>
  <c r="T42" i="5"/>
  <c r="L42" i="5"/>
  <c r="M42" i="5" s="1"/>
  <c r="G42" i="5"/>
  <c r="E42" i="5"/>
  <c r="F42" i="5" s="1"/>
  <c r="AP41" i="5"/>
  <c r="AQ41" i="5" s="1"/>
  <c r="AM41" i="5"/>
  <c r="AK41" i="5"/>
  <c r="AI41" i="5"/>
  <c r="AJ41" i="5" s="1"/>
  <c r="AA41" i="5"/>
  <c r="AB41" i="5" s="1"/>
  <c r="X41" i="5"/>
  <c r="V41" i="5"/>
  <c r="U41" i="5"/>
  <c r="T41" i="5"/>
  <c r="W41" i="5" s="1"/>
  <c r="L41" i="5"/>
  <c r="M41" i="5" s="1"/>
  <c r="G41" i="5"/>
  <c r="F41" i="5"/>
  <c r="E41" i="5"/>
  <c r="AP40" i="5"/>
  <c r="AQ40" i="5" s="1"/>
  <c r="AM40" i="5"/>
  <c r="AK40" i="5"/>
  <c r="AI40" i="5"/>
  <c r="AJ40" i="5" s="1"/>
  <c r="AA40" i="5"/>
  <c r="AB40" i="5" s="1"/>
  <c r="X40" i="5"/>
  <c r="V40" i="5"/>
  <c r="W40" i="5" s="1"/>
  <c r="T40" i="5"/>
  <c r="U40" i="5" s="1"/>
  <c r="L40" i="5"/>
  <c r="M40" i="5" s="1"/>
  <c r="H40" i="5"/>
  <c r="G40" i="5"/>
  <c r="E40" i="5"/>
  <c r="F40" i="5" s="1"/>
  <c r="AP39" i="5"/>
  <c r="AQ39" i="5" s="1"/>
  <c r="AM39" i="5"/>
  <c r="AK39" i="5"/>
  <c r="AI39" i="5"/>
  <c r="AL39" i="5" s="1"/>
  <c r="AA39" i="5"/>
  <c r="AB39" i="5" s="1"/>
  <c r="X39" i="5"/>
  <c r="V39" i="5"/>
  <c r="T39" i="5"/>
  <c r="U39" i="5" s="1"/>
  <c r="L39" i="5"/>
  <c r="M39" i="5" s="1"/>
  <c r="G39" i="5"/>
  <c r="H39" i="5" s="1"/>
  <c r="E39" i="5"/>
  <c r="F39" i="5" s="1"/>
  <c r="AP38" i="5"/>
  <c r="AQ38" i="5" s="1"/>
  <c r="AM38" i="5"/>
  <c r="AK38" i="5"/>
  <c r="AI38" i="5"/>
  <c r="AL38" i="5" s="1"/>
  <c r="AA38" i="5"/>
  <c r="AB38" i="5" s="1"/>
  <c r="X38" i="5"/>
  <c r="V38" i="5"/>
  <c r="T38" i="5"/>
  <c r="W38" i="5" s="1"/>
  <c r="L38" i="5"/>
  <c r="M38" i="5" s="1"/>
  <c r="G38" i="5"/>
  <c r="E38" i="5"/>
  <c r="F38" i="5" s="1"/>
  <c r="AP37" i="5"/>
  <c r="AQ37" i="5" s="1"/>
  <c r="AM37" i="5"/>
  <c r="AK37" i="5"/>
  <c r="AL37" i="5" s="1"/>
  <c r="AI37" i="5"/>
  <c r="AJ37" i="5" s="1"/>
  <c r="AA37" i="5"/>
  <c r="AB37" i="5" s="1"/>
  <c r="X37" i="5"/>
  <c r="V37" i="5"/>
  <c r="T37" i="5"/>
  <c r="W37" i="5" s="1"/>
  <c r="L37" i="5"/>
  <c r="M37" i="5" s="1"/>
  <c r="G37" i="5"/>
  <c r="E37" i="5"/>
  <c r="H37" i="5" s="1"/>
  <c r="AP36" i="5"/>
  <c r="AQ36" i="5" s="1"/>
  <c r="AM36" i="5"/>
  <c r="AK36" i="5"/>
  <c r="AI36" i="5"/>
  <c r="AJ36" i="5" s="1"/>
  <c r="AA36" i="5"/>
  <c r="AB36" i="5" s="1"/>
  <c r="X36" i="5"/>
  <c r="W36" i="5"/>
  <c r="V36" i="5"/>
  <c r="T36" i="5"/>
  <c r="U36" i="5" s="1"/>
  <c r="L36" i="5"/>
  <c r="M36" i="5" s="1"/>
  <c r="G36" i="5"/>
  <c r="E36" i="5"/>
  <c r="H36" i="5" s="1"/>
  <c r="AP35" i="5"/>
  <c r="AQ35" i="5" s="1"/>
  <c r="AM35" i="5"/>
  <c r="AK35" i="5"/>
  <c r="AJ35" i="5"/>
  <c r="AI35" i="5"/>
  <c r="AA35" i="5"/>
  <c r="AB35" i="5" s="1"/>
  <c r="X35" i="5"/>
  <c r="W35" i="5"/>
  <c r="V35" i="5"/>
  <c r="T35" i="5"/>
  <c r="U35" i="5" s="1"/>
  <c r="L35" i="5"/>
  <c r="M35" i="5" s="1"/>
  <c r="G35" i="5"/>
  <c r="E35" i="5"/>
  <c r="F35" i="5" s="1"/>
  <c r="AP34" i="5"/>
  <c r="AQ34" i="5" s="1"/>
  <c r="AM34" i="5"/>
  <c r="AK34" i="5"/>
  <c r="AL34" i="5" s="1"/>
  <c r="AJ34" i="5"/>
  <c r="AI34" i="5"/>
  <c r="AA34" i="5"/>
  <c r="AB34" i="5" s="1"/>
  <c r="X34" i="5"/>
  <c r="V34" i="5"/>
  <c r="T34" i="5"/>
  <c r="L34" i="5"/>
  <c r="M34" i="5" s="1"/>
  <c r="G34" i="5"/>
  <c r="E34" i="5"/>
  <c r="F34" i="5" s="1"/>
  <c r="I26" i="5"/>
  <c r="I25" i="5"/>
  <c r="I24" i="5"/>
  <c r="I23" i="5"/>
  <c r="X22" i="5"/>
  <c r="I22" i="5"/>
  <c r="X21" i="5"/>
  <c r="I21" i="5"/>
  <c r="X20" i="5"/>
  <c r="I20" i="5"/>
  <c r="X19" i="5"/>
  <c r="I19" i="5"/>
  <c r="AM18" i="5"/>
  <c r="X18" i="5"/>
  <c r="I18" i="5"/>
  <c r="AM17" i="5"/>
  <c r="X17" i="5"/>
  <c r="I17" i="5"/>
  <c r="AM16" i="5"/>
  <c r="X16" i="5"/>
  <c r="I16" i="5"/>
  <c r="AM15" i="5"/>
  <c r="X15" i="5"/>
  <c r="I15" i="5"/>
  <c r="AM14" i="5"/>
  <c r="X14" i="5"/>
  <c r="I14" i="5"/>
  <c r="AM13" i="5"/>
  <c r="X13" i="5"/>
  <c r="I13" i="5"/>
  <c r="AM12" i="5"/>
  <c r="X12" i="5"/>
  <c r="I12" i="5"/>
  <c r="AM11" i="5"/>
  <c r="X11" i="5"/>
  <c r="I11" i="5"/>
  <c r="AM10" i="5"/>
  <c r="X10" i="5"/>
  <c r="I10" i="5"/>
  <c r="AM9" i="5"/>
  <c r="X9" i="5"/>
  <c r="I9" i="5"/>
  <c r="AM8" i="5"/>
  <c r="X8" i="5"/>
  <c r="I8" i="5"/>
  <c r="AM7" i="5"/>
  <c r="X7" i="5"/>
  <c r="I7" i="5"/>
  <c r="AM6" i="5"/>
  <c r="X6" i="5"/>
  <c r="I6" i="5"/>
  <c r="AM5" i="5"/>
  <c r="X5" i="5"/>
  <c r="AC40" i="5" s="1"/>
  <c r="I5" i="5"/>
  <c r="I55" i="4"/>
  <c r="L55" i="4" s="1"/>
  <c r="G55" i="4"/>
  <c r="E55" i="4"/>
  <c r="L54" i="4"/>
  <c r="I54" i="4"/>
  <c r="H54" i="4"/>
  <c r="M54" i="4" s="1"/>
  <c r="G54" i="4"/>
  <c r="F54" i="4"/>
  <c r="E54" i="4"/>
  <c r="I53" i="4"/>
  <c r="L53" i="4" s="1"/>
  <c r="G53" i="4"/>
  <c r="F53" i="4"/>
  <c r="E53" i="4"/>
  <c r="L52" i="4"/>
  <c r="I52" i="4"/>
  <c r="H52" i="4"/>
  <c r="M52" i="4" s="1"/>
  <c r="G52" i="4"/>
  <c r="F52" i="4"/>
  <c r="E52" i="4"/>
  <c r="W51" i="4"/>
  <c r="Z51" i="4" s="1"/>
  <c r="U51" i="4"/>
  <c r="S51" i="4"/>
  <c r="T51" i="4" s="1"/>
  <c r="L51" i="4"/>
  <c r="I51" i="4"/>
  <c r="H51" i="4"/>
  <c r="G51" i="4"/>
  <c r="F51" i="4"/>
  <c r="E51" i="4"/>
  <c r="W50" i="4"/>
  <c r="Z50" i="4" s="1"/>
  <c r="U50" i="4"/>
  <c r="T50" i="4"/>
  <c r="S50" i="4"/>
  <c r="I50" i="4"/>
  <c r="L50" i="4" s="1"/>
  <c r="G50" i="4"/>
  <c r="E50" i="4"/>
  <c r="H50" i="4" s="1"/>
  <c r="M50" i="4" s="1"/>
  <c r="W49" i="4"/>
  <c r="Z49" i="4" s="1"/>
  <c r="U49" i="4"/>
  <c r="V49" i="4" s="1"/>
  <c r="AA49" i="4" s="1"/>
  <c r="S49" i="4"/>
  <c r="T49" i="4" s="1"/>
  <c r="L49" i="4"/>
  <c r="I49" i="4"/>
  <c r="H49" i="4"/>
  <c r="M49" i="4" s="1"/>
  <c r="G49" i="4"/>
  <c r="F49" i="4"/>
  <c r="E49" i="4"/>
  <c r="W48" i="4"/>
  <c r="Z48" i="4" s="1"/>
  <c r="U48" i="4"/>
  <c r="T48" i="4"/>
  <c r="S48" i="4"/>
  <c r="L48" i="4"/>
  <c r="I48" i="4"/>
  <c r="H48" i="4"/>
  <c r="M48" i="4" s="1"/>
  <c r="G48" i="4"/>
  <c r="F48" i="4"/>
  <c r="E48" i="4"/>
  <c r="AK47" i="4"/>
  <c r="AN47" i="4" s="1"/>
  <c r="AI47" i="4"/>
  <c r="AG47" i="4"/>
  <c r="AH47" i="4" s="1"/>
  <c r="Z47" i="4"/>
  <c r="W47" i="4"/>
  <c r="V47" i="4"/>
  <c r="U47" i="4"/>
  <c r="T47" i="4"/>
  <c r="S47" i="4"/>
  <c r="I47" i="4"/>
  <c r="L47" i="4" s="1"/>
  <c r="G47" i="4"/>
  <c r="F47" i="4"/>
  <c r="E47" i="4"/>
  <c r="AK46" i="4"/>
  <c r="AN46" i="4" s="1"/>
  <c r="AI46" i="4"/>
  <c r="AG46" i="4"/>
  <c r="AJ46" i="4" s="1"/>
  <c r="W46" i="4"/>
  <c r="Z46" i="4" s="1"/>
  <c r="U46" i="4"/>
  <c r="V46" i="4" s="1"/>
  <c r="AA46" i="4" s="1"/>
  <c r="S46" i="4"/>
  <c r="T46" i="4" s="1"/>
  <c r="L46" i="4"/>
  <c r="I46" i="4"/>
  <c r="H46" i="4"/>
  <c r="M46" i="4" s="1"/>
  <c r="G46" i="4"/>
  <c r="F46" i="4"/>
  <c r="E46" i="4"/>
  <c r="AK45" i="4"/>
  <c r="AN45" i="4" s="1"/>
  <c r="AI45" i="4"/>
  <c r="AH45" i="4"/>
  <c r="AG45" i="4"/>
  <c r="Z45" i="4"/>
  <c r="W45" i="4"/>
  <c r="V45" i="4"/>
  <c r="AA45" i="4" s="1"/>
  <c r="U45" i="4"/>
  <c r="T45" i="4"/>
  <c r="S45" i="4"/>
  <c r="I45" i="4"/>
  <c r="L45" i="4" s="1"/>
  <c r="G45" i="4"/>
  <c r="E45" i="4"/>
  <c r="F45" i="4" s="1"/>
  <c r="AN44" i="4"/>
  <c r="AK44" i="4"/>
  <c r="AJ44" i="4"/>
  <c r="AI44" i="4"/>
  <c r="AH44" i="4"/>
  <c r="AG44" i="4"/>
  <c r="W44" i="4"/>
  <c r="Z44" i="4" s="1"/>
  <c r="U44" i="4"/>
  <c r="T44" i="4"/>
  <c r="S44" i="4"/>
  <c r="L44" i="4"/>
  <c r="I44" i="4"/>
  <c r="G44" i="4"/>
  <c r="E44" i="4"/>
  <c r="H44" i="4" s="1"/>
  <c r="M44" i="4" s="1"/>
  <c r="AN43" i="4"/>
  <c r="AK43" i="4"/>
  <c r="AJ43" i="4"/>
  <c r="AO43" i="4" s="1"/>
  <c r="AI43" i="4"/>
  <c r="AH43" i="4"/>
  <c r="AG43" i="4"/>
  <c r="W43" i="4"/>
  <c r="Z43" i="4" s="1"/>
  <c r="U43" i="4"/>
  <c r="S43" i="4"/>
  <c r="T43" i="4" s="1"/>
  <c r="L43" i="4"/>
  <c r="I43" i="4"/>
  <c r="G43" i="4"/>
  <c r="H43" i="4" s="1"/>
  <c r="M43" i="4" s="1"/>
  <c r="F43" i="4"/>
  <c r="E43" i="4"/>
  <c r="AN42" i="4"/>
  <c r="AK42" i="4"/>
  <c r="AI42" i="4"/>
  <c r="AG42" i="4"/>
  <c r="AJ42" i="4" s="1"/>
  <c r="AO42" i="4" s="1"/>
  <c r="W42" i="4"/>
  <c r="Z42" i="4" s="1"/>
  <c r="V42" i="4"/>
  <c r="U42" i="4"/>
  <c r="S42" i="4"/>
  <c r="T42" i="4" s="1"/>
  <c r="I42" i="4"/>
  <c r="L42" i="4" s="1"/>
  <c r="G42" i="4"/>
  <c r="E42" i="4"/>
  <c r="F42" i="4" s="1"/>
  <c r="AN41" i="4"/>
  <c r="AK41" i="4"/>
  <c r="AI41" i="4"/>
  <c r="AJ41" i="4" s="1"/>
  <c r="AO41" i="4" s="1"/>
  <c r="AH41" i="4"/>
  <c r="AG41" i="4"/>
  <c r="Z41" i="4"/>
  <c r="W41" i="4"/>
  <c r="U41" i="4"/>
  <c r="S41" i="4"/>
  <c r="V41" i="4" s="1"/>
  <c r="AA41" i="4" s="1"/>
  <c r="I41" i="4"/>
  <c r="L41" i="4" s="1"/>
  <c r="H41" i="4"/>
  <c r="G41" i="4"/>
  <c r="F41" i="4"/>
  <c r="E41" i="4"/>
  <c r="AK40" i="4"/>
  <c r="AN40" i="4" s="1"/>
  <c r="AI40" i="4"/>
  <c r="AG40" i="4"/>
  <c r="AH40" i="4" s="1"/>
  <c r="Z40" i="4"/>
  <c r="W40" i="4"/>
  <c r="U40" i="4"/>
  <c r="V40" i="4" s="1"/>
  <c r="AA40" i="4" s="1"/>
  <c r="T40" i="4"/>
  <c r="S40" i="4"/>
  <c r="L40" i="4"/>
  <c r="I40" i="4"/>
  <c r="G40" i="4"/>
  <c r="E40" i="4"/>
  <c r="H40" i="4" s="1"/>
  <c r="M40" i="4" s="1"/>
  <c r="AN39" i="4"/>
  <c r="AK39" i="4"/>
  <c r="AJ39" i="4"/>
  <c r="AO39" i="4" s="1"/>
  <c r="AI39" i="4"/>
  <c r="AH39" i="4"/>
  <c r="AG39" i="4"/>
  <c r="W39" i="4"/>
  <c r="Z39" i="4" s="1"/>
  <c r="U39" i="4"/>
  <c r="S39" i="4"/>
  <c r="T39" i="4" s="1"/>
  <c r="L39" i="4"/>
  <c r="I39" i="4"/>
  <c r="G39" i="4"/>
  <c r="H39" i="4" s="1"/>
  <c r="M39" i="4" s="1"/>
  <c r="F39" i="4"/>
  <c r="E39" i="4"/>
  <c r="AN38" i="4"/>
  <c r="AK38" i="4"/>
  <c r="AI38" i="4"/>
  <c r="AG38" i="4"/>
  <c r="AJ38" i="4" s="1"/>
  <c r="AO38" i="4" s="1"/>
  <c r="Z38" i="4"/>
  <c r="W38" i="4"/>
  <c r="V38" i="4"/>
  <c r="AA38" i="4" s="1"/>
  <c r="U38" i="4"/>
  <c r="T38" i="4"/>
  <c r="S38" i="4"/>
  <c r="I38" i="4"/>
  <c r="L38" i="4" s="1"/>
  <c r="G38" i="4"/>
  <c r="E38" i="4"/>
  <c r="F38" i="4" s="1"/>
  <c r="AN37" i="4"/>
  <c r="AK37" i="4"/>
  <c r="AI37" i="4"/>
  <c r="AJ37" i="4" s="1"/>
  <c r="AO37" i="4" s="1"/>
  <c r="AH37" i="4"/>
  <c r="AG37" i="4"/>
  <c r="Z37" i="4"/>
  <c r="W37" i="4"/>
  <c r="U37" i="4"/>
  <c r="S37" i="4"/>
  <c r="V37" i="4" s="1"/>
  <c r="AA37" i="4" s="1"/>
  <c r="I37" i="4"/>
  <c r="L37" i="4" s="1"/>
  <c r="H37" i="4"/>
  <c r="M37" i="4" s="1"/>
  <c r="G37" i="4"/>
  <c r="E37" i="4"/>
  <c r="F37" i="4" s="1"/>
  <c r="AN36" i="4"/>
  <c r="AK36" i="4"/>
  <c r="AI36" i="4"/>
  <c r="AJ36" i="4" s="1"/>
  <c r="AO36" i="4" s="1"/>
  <c r="AH36" i="4"/>
  <c r="AG36" i="4"/>
  <c r="Z36" i="4"/>
  <c r="W36" i="4"/>
  <c r="U36" i="4"/>
  <c r="T36" i="4"/>
  <c r="S36" i="4"/>
  <c r="V36" i="4" s="1"/>
  <c r="AA36" i="4" s="1"/>
  <c r="I36" i="4"/>
  <c r="L36" i="4" s="1"/>
  <c r="G36" i="4"/>
  <c r="E36" i="4"/>
  <c r="H36" i="4" s="1"/>
  <c r="AK35" i="4"/>
  <c r="AN35" i="4" s="1"/>
  <c r="AJ35" i="4"/>
  <c r="AI35" i="4"/>
  <c r="AG35" i="4"/>
  <c r="AH35" i="4" s="1"/>
  <c r="Z35" i="4"/>
  <c r="W35" i="4"/>
  <c r="U35" i="4"/>
  <c r="V35" i="4" s="1"/>
  <c r="AA35" i="4" s="1"/>
  <c r="T35" i="4"/>
  <c r="S35" i="4"/>
  <c r="L35" i="4"/>
  <c r="I35" i="4"/>
  <c r="G35" i="4"/>
  <c r="F35" i="4"/>
  <c r="E35" i="4"/>
  <c r="H35" i="4" s="1"/>
  <c r="M35" i="4" s="1"/>
  <c r="AK34" i="4"/>
  <c r="AN34" i="4" s="1"/>
  <c r="AI34" i="4"/>
  <c r="AG34" i="4"/>
  <c r="AJ34" i="4" s="1"/>
  <c r="AO34" i="4" s="1"/>
  <c r="W34" i="4"/>
  <c r="Z34" i="4" s="1"/>
  <c r="V34" i="4"/>
  <c r="U34" i="4"/>
  <c r="S34" i="4"/>
  <c r="T34" i="4" s="1"/>
  <c r="L34" i="4"/>
  <c r="I34" i="4"/>
  <c r="G34" i="4"/>
  <c r="H34" i="4" s="1"/>
  <c r="M34" i="4" s="1"/>
  <c r="F34" i="4"/>
  <c r="E34" i="4"/>
  <c r="I26" i="4"/>
  <c r="H26" i="4"/>
  <c r="I25" i="4"/>
  <c r="H25" i="4"/>
  <c r="I24" i="4"/>
  <c r="H24" i="4"/>
  <c r="I23" i="4"/>
  <c r="H23" i="4"/>
  <c r="W22" i="4"/>
  <c r="I22" i="4"/>
  <c r="H22" i="4"/>
  <c r="W21" i="4"/>
  <c r="I21" i="4"/>
  <c r="H21" i="4"/>
  <c r="W20" i="4"/>
  <c r="I20" i="4"/>
  <c r="H20" i="4"/>
  <c r="W19" i="4"/>
  <c r="I19" i="4"/>
  <c r="H19" i="4"/>
  <c r="AK18" i="4"/>
  <c r="AJ18" i="4"/>
  <c r="W18" i="4"/>
  <c r="I18" i="4"/>
  <c r="H18" i="4"/>
  <c r="AK17" i="4"/>
  <c r="AJ17" i="4"/>
  <c r="W17" i="4"/>
  <c r="I17" i="4"/>
  <c r="H17" i="4"/>
  <c r="AK16" i="4"/>
  <c r="AJ16" i="4"/>
  <c r="W16" i="4"/>
  <c r="I16" i="4"/>
  <c r="H16" i="4"/>
  <c r="AK15" i="4"/>
  <c r="AJ15" i="4"/>
  <c r="W15" i="4"/>
  <c r="I15" i="4"/>
  <c r="H15" i="4"/>
  <c r="AK14" i="4"/>
  <c r="AJ14" i="4"/>
  <c r="W14" i="4"/>
  <c r="I14" i="4"/>
  <c r="H14" i="4"/>
  <c r="AK13" i="4"/>
  <c r="AJ13" i="4"/>
  <c r="W13" i="4"/>
  <c r="I13" i="4"/>
  <c r="H13" i="4"/>
  <c r="AK12" i="4"/>
  <c r="AJ12" i="4"/>
  <c r="W12" i="4"/>
  <c r="I12" i="4"/>
  <c r="H12" i="4"/>
  <c r="AK11" i="4"/>
  <c r="AJ11" i="4"/>
  <c r="W11" i="4"/>
  <c r="I11" i="4"/>
  <c r="H11" i="4"/>
  <c r="AK10" i="4"/>
  <c r="AJ10" i="4"/>
  <c r="W10" i="4"/>
  <c r="I10" i="4"/>
  <c r="H10" i="4"/>
  <c r="AK9" i="4"/>
  <c r="AJ9" i="4"/>
  <c r="W9" i="4"/>
  <c r="I9" i="4"/>
  <c r="H9" i="4"/>
  <c r="AK8" i="4"/>
  <c r="AJ8" i="4"/>
  <c r="W8" i="4"/>
  <c r="I8" i="4"/>
  <c r="H8" i="4"/>
  <c r="AK7" i="4"/>
  <c r="AJ7" i="4"/>
  <c r="W7" i="4"/>
  <c r="I7" i="4"/>
  <c r="H7" i="4"/>
  <c r="AK6" i="4"/>
  <c r="AJ6" i="4"/>
  <c r="W6" i="4"/>
  <c r="I6" i="4"/>
  <c r="H6" i="4"/>
  <c r="AK5" i="4"/>
  <c r="AJ5" i="4"/>
  <c r="W5" i="4"/>
  <c r="I5" i="4"/>
  <c r="H5" i="4"/>
  <c r="Z51" i="6" l="1"/>
  <c r="AA51" i="6" s="1"/>
  <c r="Z35" i="6"/>
  <c r="AA35" i="6" s="1"/>
  <c r="Z50" i="6"/>
  <c r="AA50" i="6" s="1"/>
  <c r="Z38" i="6"/>
  <c r="AA38" i="6" s="1"/>
  <c r="Z34" i="6"/>
  <c r="AA34" i="6" s="1"/>
  <c r="AA47" i="6"/>
  <c r="Z47" i="6"/>
  <c r="Z43" i="6"/>
  <c r="AA43" i="6" s="1"/>
  <c r="V34" i="6"/>
  <c r="T36" i="6"/>
  <c r="AA37" i="6"/>
  <c r="V38" i="6"/>
  <c r="T40" i="6"/>
  <c r="AA41" i="6"/>
  <c r="T44" i="6"/>
  <c r="AA45" i="6"/>
  <c r="T48" i="6"/>
  <c r="AA49" i="6"/>
  <c r="V50" i="6"/>
  <c r="Z39" i="6"/>
  <c r="AA39" i="6" s="1"/>
  <c r="AN38" i="6"/>
  <c r="AO38" i="6" s="1"/>
  <c r="AN46" i="6"/>
  <c r="AO46" i="6" s="1"/>
  <c r="AN35" i="6"/>
  <c r="AO35" i="6" s="1"/>
  <c r="AN43" i="6"/>
  <c r="AO43" i="6" s="1"/>
  <c r="AN39" i="6"/>
  <c r="AO39" i="6" s="1"/>
  <c r="AO47" i="6"/>
  <c r="AN47" i="6"/>
  <c r="AN34" i="6"/>
  <c r="AO34" i="6" s="1"/>
  <c r="AN42" i="6"/>
  <c r="AO42" i="6" s="1"/>
  <c r="AN37" i="6"/>
  <c r="AO37" i="6" s="1"/>
  <c r="AN41" i="6"/>
  <c r="AO41" i="6" s="1"/>
  <c r="AN45" i="6"/>
  <c r="AO45" i="6" s="1"/>
  <c r="AH36" i="6"/>
  <c r="AH40" i="6"/>
  <c r="AH44" i="6"/>
  <c r="AA34" i="4"/>
  <c r="N35" i="5"/>
  <c r="F36" i="5"/>
  <c r="U37" i="5"/>
  <c r="AJ38" i="5"/>
  <c r="N44" i="5"/>
  <c r="U45" i="5"/>
  <c r="N47" i="5"/>
  <c r="F54" i="5"/>
  <c r="N54" i="5"/>
  <c r="W34" i="5"/>
  <c r="H35" i="5"/>
  <c r="AC37" i="5"/>
  <c r="W39" i="5"/>
  <c r="H41" i="5"/>
  <c r="H46" i="5"/>
  <c r="U46" i="5"/>
  <c r="H47" i="5"/>
  <c r="AL47" i="5"/>
  <c r="W48" i="5"/>
  <c r="W50" i="5"/>
  <c r="H51" i="5"/>
  <c r="H34" i="5"/>
  <c r="AL35" i="5"/>
  <c r="AC36" i="5"/>
  <c r="AL40" i="5"/>
  <c r="AL41" i="5"/>
  <c r="W42" i="5"/>
  <c r="AL43" i="5"/>
  <c r="AC49" i="5"/>
  <c r="H50" i="5"/>
  <c r="W51" i="5"/>
  <c r="M36" i="4"/>
  <c r="AO46" i="4"/>
  <c r="AO35" i="4"/>
  <c r="AH34" i="4"/>
  <c r="F36" i="4"/>
  <c r="T37" i="4"/>
  <c r="AH38" i="4"/>
  <c r="F40" i="4"/>
  <c r="M41" i="4"/>
  <c r="T41" i="4"/>
  <c r="AA42" i="4"/>
  <c r="AH42" i="4"/>
  <c r="F44" i="4"/>
  <c r="AH46" i="4"/>
  <c r="F50" i="4"/>
  <c r="U34" i="5"/>
  <c r="AJ39" i="5"/>
  <c r="F45" i="5"/>
  <c r="N48" i="5"/>
  <c r="U50" i="5"/>
  <c r="N51" i="5"/>
  <c r="AO44" i="4"/>
  <c r="AA47" i="4"/>
  <c r="M51" i="4"/>
  <c r="AC51" i="5"/>
  <c r="AC47" i="5"/>
  <c r="AC43" i="5"/>
  <c r="AC39" i="5"/>
  <c r="AC35" i="5"/>
  <c r="AC50" i="5"/>
  <c r="AC46" i="5"/>
  <c r="AC42" i="5"/>
  <c r="AC38" i="5"/>
  <c r="AC34" i="5"/>
  <c r="N36" i="5"/>
  <c r="H38" i="5"/>
  <c r="U38" i="5"/>
  <c r="N39" i="5"/>
  <c r="AC41" i="5"/>
  <c r="W43" i="5"/>
  <c r="AJ43" i="5"/>
  <c r="AC44" i="5"/>
  <c r="F49" i="5"/>
  <c r="N52" i="5"/>
  <c r="H55" i="5"/>
  <c r="H38" i="4"/>
  <c r="M38" i="4" s="1"/>
  <c r="V39" i="4"/>
  <c r="AA39" i="4" s="1"/>
  <c r="AJ40" i="4"/>
  <c r="AO40" i="4" s="1"/>
  <c r="H42" i="4"/>
  <c r="M42" i="4" s="1"/>
  <c r="V43" i="4"/>
  <c r="AA43" i="4" s="1"/>
  <c r="H45" i="4"/>
  <c r="M45" i="4" s="1"/>
  <c r="AJ47" i="4"/>
  <c r="AO47" i="4" s="1"/>
  <c r="V51" i="4"/>
  <c r="AA51" i="4" s="1"/>
  <c r="F55" i="4"/>
  <c r="H55" i="4"/>
  <c r="M55" i="4" s="1"/>
  <c r="AL36" i="5"/>
  <c r="F37" i="5"/>
  <c r="N40" i="5"/>
  <c r="H42" i="5"/>
  <c r="U42" i="5"/>
  <c r="N43" i="5"/>
  <c r="AC45" i="5"/>
  <c r="W47" i="5"/>
  <c r="AJ47" i="5"/>
  <c r="AC48" i="5"/>
  <c r="H53" i="5"/>
  <c r="N37" i="5"/>
  <c r="N41" i="5"/>
  <c r="N45" i="5"/>
  <c r="N49" i="5"/>
  <c r="V44" i="4"/>
  <c r="AA44" i="4" s="1"/>
  <c r="AJ45" i="4"/>
  <c r="AO45" i="4" s="1"/>
  <c r="H47" i="4"/>
  <c r="M47" i="4" s="1"/>
  <c r="V48" i="4"/>
  <c r="AA48" i="4" s="1"/>
  <c r="V50" i="4"/>
  <c r="AA50" i="4" s="1"/>
  <c r="H53" i="4"/>
  <c r="M53" i="4" s="1"/>
  <c r="N34" i="5"/>
  <c r="N38" i="5"/>
  <c r="N42" i="5"/>
  <c r="N46" i="5"/>
  <c r="N50" i="5"/>
  <c r="N53" i="5"/>
  <c r="N55" i="5"/>
  <c r="Z48" i="6" l="1"/>
  <c r="AA48" i="6" s="1"/>
  <c r="Z44" i="6"/>
  <c r="AA44" i="6" s="1"/>
  <c r="Z40" i="6"/>
  <c r="AA40" i="6" s="1"/>
  <c r="Z36" i="6"/>
  <c r="AA36" i="6" s="1"/>
  <c r="AN36" i="6"/>
  <c r="AO36" i="6" s="1"/>
  <c r="AN40" i="6"/>
  <c r="AO40" i="6" s="1"/>
  <c r="AN44" i="6"/>
  <c r="AO44" i="6" s="1"/>
</calcChain>
</file>

<file path=xl/sharedStrings.xml><?xml version="1.0" encoding="utf-8"?>
<sst xmlns="http://schemas.openxmlformats.org/spreadsheetml/2006/main" count="464" uniqueCount="65">
  <si>
    <t>No</t>
  </si>
  <si>
    <t>Waktu
Operasi</t>
  </si>
  <si>
    <t>Konsentrasi
Awal</t>
  </si>
  <si>
    <t>Kosentrasi
setelah melewati
Kolom</t>
  </si>
  <si>
    <t>Volume Larutan
Krom yang 
Melewati Kolom</t>
  </si>
  <si>
    <t>Persentase
Penyisihan</t>
  </si>
  <si>
    <t>Ln
(Ct/Co)</t>
  </si>
  <si>
    <t>Ct/Co</t>
  </si>
  <si>
    <t>perc</t>
  </si>
  <si>
    <t>jam</t>
  </si>
  <si>
    <t>mg/liter</t>
  </si>
  <si>
    <t>%</t>
  </si>
  <si>
    <t>Warna Kuning = Titik Breaktrough</t>
  </si>
  <si>
    <t>Warna Orange = Titik Exhausted (Aliran Limbah ke Kolom Dihentikan)</t>
  </si>
  <si>
    <t>Bed 
Height</t>
  </si>
  <si>
    <t>Volumetric 
Flowrate (Q)</t>
  </si>
  <si>
    <t>Slope</t>
  </si>
  <si>
    <t xml:space="preserve">τ </t>
  </si>
  <si>
    <t>R²</t>
  </si>
  <si>
    <t>cm</t>
  </si>
  <si>
    <t>liter/jam</t>
  </si>
  <si>
    <t>A Kolom</t>
  </si>
  <si>
    <t>Linier
Flowrate</t>
  </si>
  <si>
    <t>Co Cr</t>
  </si>
  <si>
    <t>Intersep</t>
  </si>
  <si>
    <t>Kab</t>
  </si>
  <si>
    <t>ml/min</t>
  </si>
  <si>
    <t>ml/jam</t>
  </si>
  <si>
    <t>cm2</t>
  </si>
  <si>
    <t>cm/jam</t>
  </si>
  <si>
    <t>mg/l</t>
  </si>
  <si>
    <t>L/mg.jam</t>
  </si>
  <si>
    <t>Volume
Larutan Krom
yang Melewati
Kolom</t>
  </si>
  <si>
    <t>liter</t>
  </si>
  <si>
    <t>qt</t>
  </si>
  <si>
    <t>mg/g</t>
  </si>
  <si>
    <t>Kosentrasi
setelah Melewati
Kolom</t>
  </si>
  <si>
    <t>KYN</t>
  </si>
  <si>
    <t>τ  Exp</t>
  </si>
  <si>
    <t>jam^-1</t>
  </si>
  <si>
    <r>
      <t xml:space="preserve">Tabel 2. </t>
    </r>
    <r>
      <rPr>
        <sz val="11"/>
        <color theme="1"/>
        <rFont val="Times New Roman"/>
      </rPr>
      <t>Data Absorbansi Karbon Aktif merk X terhadap Logam Kromium, 
Bed Depth Kolom 20 cm, V = 4,5 ml/min</t>
    </r>
  </si>
  <si>
    <r>
      <t xml:space="preserve">Tabel 1. </t>
    </r>
    <r>
      <rPr>
        <sz val="11"/>
        <color theme="1"/>
        <rFont val="Times New Roman"/>
      </rPr>
      <t>Data Absorbansi Karbon Aktif merk X terhadap Logam Kromium, 
Bed Depth Kolom 20 cm, V = 4,5 ml/min</t>
    </r>
  </si>
  <si>
    <r>
      <t xml:space="preserve">Tabel 3. </t>
    </r>
    <r>
      <rPr>
        <sz val="11"/>
        <color theme="1"/>
        <rFont val="Times New Roman"/>
      </rPr>
      <t>Data Absorbansi Karbon Aktif merk X terhadap Logam Kromium, 
Bed Depth Kolom 20 cm, V = 4,5 ml/min</t>
    </r>
  </si>
  <si>
    <t>Volume Larutan Krom yang Melewati Kolom</t>
  </si>
  <si>
    <t>Ln
((Ct/Co)-1)</t>
  </si>
  <si>
    <t>Ln
(Ct/Co-Ct)</t>
  </si>
  <si>
    <t>KTH</t>
  </si>
  <si>
    <t>l/mg.jam</t>
  </si>
  <si>
    <t>mg(g)</t>
  </si>
  <si>
    <t>mg</t>
  </si>
  <si>
    <t>Menghitung Penyisihan Efisiensi Tabel 1</t>
  </si>
  <si>
    <r>
      <t xml:space="preserve">Tabel 1. </t>
    </r>
    <r>
      <rPr>
        <sz val="11"/>
        <color theme="1"/>
        <rFont val="Times New Roman"/>
        <family val="1"/>
      </rPr>
      <t>Data Absorbansi Karbon Aktif merk X terhadap Logam Kromium, 
Bed Depth Kolom 20 cm, V = 4,5 ml/min</t>
    </r>
  </si>
  <si>
    <t>mg.jam/liter</t>
  </si>
  <si>
    <t>Waktu Kontak ke x Volume 
Larutan ke</t>
  </si>
  <si>
    <t>Luas Kurva (A total)</t>
  </si>
  <si>
    <t>Luas Areal</t>
  </si>
  <si>
    <t>A sorpsi</t>
  </si>
  <si>
    <t>Luas Kurva - Luas Area</t>
  </si>
  <si>
    <t>Wcr</t>
  </si>
  <si>
    <t>Ecr</t>
  </si>
  <si>
    <t>A sorpsi * V</t>
  </si>
  <si>
    <t>Ct 1 ke * perbedaan jam/Co</t>
  </si>
  <si>
    <t>Wcr/Co*V*jam ke*100%</t>
  </si>
  <si>
    <t>Menghitung Penyisihan Efisiensi Tabel 2</t>
  </si>
  <si>
    <t>Menghitung Penyisihan Efisiensi Tabel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</si>
</sst>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74" formatCode="0.0000%"/>
  </numFmts>
  <fonts count="15">
    <font>
      <sz val="10"/>
      <color rgb="FF000000"/>
      <name val="Arial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&quot;Times New Roman&quot;"/>
    </font>
    <font>
      <b/>
      <sz val="11"/>
      <color rgb="FF000000"/>
      <name val="Times New Roman"/>
    </font>
    <font>
      <b/>
      <sz val="11"/>
      <color rgb="FF000000"/>
      <name val="&quot;Times New Roman&quot;"/>
    </font>
    <font>
      <sz val="10"/>
      <color theme="1"/>
      <name val="Arial"/>
    </font>
    <font>
      <sz val="10"/>
      <color rgb="FF000000"/>
      <name val="Arial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  <scheme val="minor"/>
    </font>
    <font>
      <b/>
      <sz val="11"/>
      <color rgb="FF000000"/>
      <name val="Times New Roman"/>
      <family val="1"/>
    </font>
    <font>
      <b/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rgb="FFB6D7A8"/>
      </patternFill>
    </fill>
    <fill>
      <patternFill patternType="solid">
        <fgColor theme="5" tint="0.39997558519241921"/>
        <bgColor rgb="FF93C47D"/>
      </patternFill>
    </fill>
    <fill>
      <patternFill patternType="solid">
        <fgColor theme="5" tint="0.59999389629810485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9" fontId="5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10" fillId="10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9" fontId="13" fillId="4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9" fontId="13" fillId="5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74" fontId="11" fillId="0" borderId="7" xfId="1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4" fillId="0" borderId="0" xfId="0" applyFont="1" applyFill="1" applyAlignment="1">
      <alignment horizontal="left" vertical="center"/>
    </xf>
    <xf numFmtId="0" fontId="12" fillId="0" borderId="0" xfId="0" applyFont="1" applyFill="1"/>
    <xf numFmtId="0" fontId="10" fillId="8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Tabel 1. Data Absorbansi Karbon Aktif merk X terhadap Logam Kromium, </a:t>
            </a:r>
          </a:p>
          <a:p>
            <a:pPr>
              <a:defRPr/>
            </a:pPr>
            <a:r>
              <a:rPr lang="id-ID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588145231846013E-2"/>
                  <c:y val="0.32900444736074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'Adams Bohart'!$C$5:$C$26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'Adams Bohart'!$H$5:$H$26</c:f>
              <c:numCache>
                <c:formatCode>0.0000</c:formatCode>
                <c:ptCount val="22"/>
                <c:pt idx="0">
                  <c:v>-4.3965313208767629</c:v>
                </c:pt>
                <c:pt idx="1">
                  <c:v>-3.8036171315843599</c:v>
                </c:pt>
                <c:pt idx="2">
                  <c:v>-3.4631791740180367</c:v>
                </c:pt>
                <c:pt idx="3">
                  <c:v>-3.3711532603137786</c:v>
                </c:pt>
                <c:pt idx="4">
                  <c:v>-3.5240432116610014</c:v>
                </c:pt>
                <c:pt idx="5">
                  <c:v>-3.3250700212746045</c:v>
                </c:pt>
                <c:pt idx="6">
                  <c:v>-3.1646244100362848</c:v>
                </c:pt>
                <c:pt idx="7">
                  <c:v>-3.0311522187852513</c:v>
                </c:pt>
                <c:pt idx="8">
                  <c:v>-2.0118576623563045</c:v>
                </c:pt>
                <c:pt idx="9">
                  <c:v>-1.6067914174931948</c:v>
                </c:pt>
                <c:pt idx="10">
                  <c:v>-1.0594973503395573</c:v>
                </c:pt>
                <c:pt idx="11">
                  <c:v>-1.1563579337180894</c:v>
                </c:pt>
                <c:pt idx="12">
                  <c:v>-1.1388407093881536</c:v>
                </c:pt>
                <c:pt idx="13">
                  <c:v>-0.65554315816257869</c:v>
                </c:pt>
                <c:pt idx="14">
                  <c:v>-0.47910088407174917</c:v>
                </c:pt>
                <c:pt idx="15">
                  <c:v>-0.37061450692247044</c:v>
                </c:pt>
                <c:pt idx="16">
                  <c:v>-0.21075806903857752</c:v>
                </c:pt>
                <c:pt idx="17">
                  <c:v>-0.15725047924511551</c:v>
                </c:pt>
                <c:pt idx="18">
                  <c:v>-4.9305797085237683E-2</c:v>
                </c:pt>
                <c:pt idx="19">
                  <c:v>-4.0572025765047794E-2</c:v>
                </c:pt>
                <c:pt idx="20">
                  <c:v>-7.7475173279411363E-2</c:v>
                </c:pt>
                <c:pt idx="21">
                  <c:v>-5.2230575603651998E-2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F-458F-929B-33874F82D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788600"/>
        <c:axId val="733783920"/>
      </c:scatterChart>
      <c:valAx>
        <c:axId val="73378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3920"/>
        <c:crosses val="autoZero"/>
        <c:crossBetween val="midCat"/>
      </c:valAx>
      <c:valAx>
        <c:axId val="73378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</a:t>
                </a:r>
                <a:r>
                  <a:rPr lang="en-US" baseline="0"/>
                  <a:t> (Ct/Co)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8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Tabel 2. Data Absorbansi Karbon Aktif merk X terhadap Logam Kromium, </a:t>
            </a:r>
          </a:p>
          <a:p>
            <a:pPr>
              <a:defRPr/>
            </a:pPr>
            <a:r>
              <a:rPr lang="id-ID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828958880139981E-2"/>
                  <c:y val="0.2919674103237095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0,2546x - 4,0367</a:t>
                    </a:r>
                    <a:br>
                      <a:rPr lang="en-US" baseline="0"/>
                    </a:br>
                    <a:r>
                      <a:rPr lang="en-US" baseline="0"/>
                      <a:t>R² = 0,956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'Adams Bohart'!$Q$5:$Q$22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'Adams Bohart'!$V$5:$V$22</c:f>
              <c:numCache>
                <c:formatCode>0.0000</c:formatCode>
                <c:ptCount val="18"/>
                <c:pt idx="0">
                  <c:v>-4.0551238490688197</c:v>
                </c:pt>
                <c:pt idx="1">
                  <c:v>-3.3991993789994823</c:v>
                </c:pt>
                <c:pt idx="2">
                  <c:v>-3.3677626055759178</c:v>
                </c:pt>
                <c:pt idx="3">
                  <c:v>-3.2614354392869966</c:v>
                </c:pt>
                <c:pt idx="4">
                  <c:v>-3.050540510048986</c:v>
                </c:pt>
                <c:pt idx="5">
                  <c:v>-2.8336134240775559</c:v>
                </c:pt>
                <c:pt idx="6">
                  <c:v>-2.1780103584124149</c:v>
                </c:pt>
                <c:pt idx="7">
                  <c:v>-1.7041149593760085</c:v>
                </c:pt>
                <c:pt idx="8">
                  <c:v>-1.292197037740775</c:v>
                </c:pt>
                <c:pt idx="9">
                  <c:v>-1.2786963505218722</c:v>
                </c:pt>
                <c:pt idx="10">
                  <c:v>-0.88673192963261072</c:v>
                </c:pt>
                <c:pt idx="11">
                  <c:v>-0.71607468520364992</c:v>
                </c:pt>
                <c:pt idx="12">
                  <c:v>-0.53375312840969547</c:v>
                </c:pt>
                <c:pt idx="13">
                  <c:v>-0.30435360673975292</c:v>
                </c:pt>
                <c:pt idx="14">
                  <c:v>-9.3431944792552443E-2</c:v>
                </c:pt>
                <c:pt idx="15">
                  <c:v>-5.3541433594918739E-2</c:v>
                </c:pt>
                <c:pt idx="16">
                  <c:v>-6.5000850217414072E-2</c:v>
                </c:pt>
                <c:pt idx="17">
                  <c:v>-4.2142310197967492E-2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80-4E62-AEFE-90615FAA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785000"/>
        <c:axId val="733785360"/>
      </c:scatterChart>
      <c:valAx>
        <c:axId val="73378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  <a:r>
                  <a:rPr lang="en-US" baseline="0"/>
                  <a:t>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5360"/>
        <c:crosses val="autoZero"/>
        <c:crossBetween val="midCat"/>
      </c:valAx>
      <c:valAx>
        <c:axId val="7337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Ln(Ct/Co)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5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Tabel 3. Data Absorbansi Karbon Aktif merk X terhadap Logam Kromium, </a:t>
            </a:r>
          </a:p>
          <a:p>
            <a:pPr>
              <a:defRPr/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741032370953636E-2"/>
                  <c:y val="0.328240740740740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'Adams Bohart'!$AE$5:$AE$18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'Adams Bohart'!$AJ$5:$AJ$18</c:f>
              <c:numCache>
                <c:formatCode>0.0000</c:formatCode>
                <c:ptCount val="14"/>
                <c:pt idx="0">
                  <c:v>-4.0570487774784034</c:v>
                </c:pt>
                <c:pt idx="1">
                  <c:v>-3.3991993789994823</c:v>
                </c:pt>
                <c:pt idx="2">
                  <c:v>-3.0512449834842497</c:v>
                </c:pt>
                <c:pt idx="3">
                  <c:v>-2.8336134240775559</c:v>
                </c:pt>
                <c:pt idx="4">
                  <c:v>-2.1781575146189938</c:v>
                </c:pt>
                <c:pt idx="5">
                  <c:v>-1.7042981934580606</c:v>
                </c:pt>
                <c:pt idx="6">
                  <c:v>-1.2922577191935076</c:v>
                </c:pt>
                <c:pt idx="7">
                  <c:v>-1.2786963505218725</c:v>
                </c:pt>
                <c:pt idx="8">
                  <c:v>-0.8867319296326106</c:v>
                </c:pt>
                <c:pt idx="9">
                  <c:v>-0.53375312840969524</c:v>
                </c:pt>
                <c:pt idx="10">
                  <c:v>-0.30435360673975292</c:v>
                </c:pt>
                <c:pt idx="11">
                  <c:v>-9.3431944792552443E-2</c:v>
                </c:pt>
                <c:pt idx="12">
                  <c:v>-5.3559017094563011E-2</c:v>
                </c:pt>
                <c:pt idx="13">
                  <c:v>-4.212492630067112E-2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7-4176-AD93-B4B228E31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179664"/>
        <c:axId val="827173184"/>
      </c:scatterChart>
      <c:valAx>
        <c:axId val="82717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  <a:r>
                  <a:rPr lang="en-US" baseline="0"/>
                  <a:t>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27173184"/>
        <c:crosses val="autoZero"/>
        <c:crossBetween val="midCat"/>
      </c:valAx>
      <c:valAx>
        <c:axId val="8271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Ln(Ct/Co)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2717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Tabel 1. Data Absorbansi Karbon Aktif merk X terhadap Logam Kromium, </a:t>
            </a:r>
          </a:p>
          <a:p>
            <a:pPr>
              <a:defRPr/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477034120734907E-2"/>
                  <c:y val="0.305856299212598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'Yoon-Nelson'!$C$5:$C$26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'Yoon-Nelson'!$H$5:$H$26</c:f>
              <c:numCache>
                <c:formatCode>0.0000</c:formatCode>
                <c:ptCount val="22"/>
                <c:pt idx="0">
                  <c:v>-4.3841348005402123</c:v>
                </c:pt>
                <c:pt idx="1">
                  <c:v>-3.7810749551478668</c:v>
                </c:pt>
                <c:pt idx="2">
                  <c:v>-3.4313478916483255</c:v>
                </c:pt>
                <c:pt idx="3">
                  <c:v>-3.3361994310502499</c:v>
                </c:pt>
                <c:pt idx="4">
                  <c:v>-3.4941199430096432</c:v>
                </c:pt>
                <c:pt idx="5">
                  <c:v>-3.2884371567507356</c:v>
                </c:pt>
                <c:pt idx="6">
                  <c:v>-3.1214767966930426</c:v>
                </c:pt>
                <c:pt idx="7">
                  <c:v>-2.981688828049661</c:v>
                </c:pt>
                <c:pt idx="8">
                  <c:v>-1.868287477823193</c:v>
                </c:pt>
                <c:pt idx="9">
                  <c:v>-1.3829851466288867</c:v>
                </c:pt>
                <c:pt idx="10">
                  <c:v>-0.63388565578804723</c:v>
                </c:pt>
                <c:pt idx="11">
                  <c:v>-0.77856149315724577</c:v>
                </c:pt>
                <c:pt idx="12">
                  <c:v>-0.75289877776872316</c:v>
                </c:pt>
                <c:pt idx="13">
                  <c:v>7.6677546383504713E-2</c:v>
                </c:pt>
                <c:pt idx="14">
                  <c:v>0.48674780665074968</c:v>
                </c:pt>
                <c:pt idx="15">
                  <c:v>0.80156897491405832</c:v>
                </c:pt>
                <c:pt idx="16">
                  <c:v>1.4498152555102932</c:v>
                </c:pt>
                <c:pt idx="17">
                  <c:v>1.7702599869648343</c:v>
                </c:pt>
                <c:pt idx="18">
                  <c:v>2.9849594261855379</c:v>
                </c:pt>
                <c:pt idx="19">
                  <c:v>3.1843218714287143</c:v>
                </c:pt>
                <c:pt idx="20">
                  <c:v>2.5188100644919786</c:v>
                </c:pt>
                <c:pt idx="21">
                  <c:v>2.9258582627777425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C-4A3C-90FB-B21271193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193992"/>
        <c:axId val="840191472"/>
      </c:scatterChart>
      <c:valAx>
        <c:axId val="84019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1472"/>
        <c:crosses val="autoZero"/>
        <c:crossBetween val="midCat"/>
      </c:valAx>
      <c:valAx>
        <c:axId val="84019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</a:t>
                </a:r>
              </a:p>
              <a:p>
                <a:pPr>
                  <a:defRPr/>
                </a:pPr>
                <a:r>
                  <a:rPr lang="en-US"/>
                  <a:t>(Ct/Co-Ct)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3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Tabel 2. Data Absorbansi Karbon Aktif merk X terhadap Logam Kromium, </a:t>
            </a:r>
          </a:p>
          <a:p>
            <a:pPr>
              <a:defRPr/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162292213473312E-2"/>
                  <c:y val="0.332870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'Yoon-Nelson'!$R$5:$R$22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'Yoon-Nelson'!$W$5:$W$22</c:f>
              <c:numCache>
                <c:formatCode>0.0000</c:formatCode>
                <c:ptCount val="18"/>
                <c:pt idx="0">
                  <c:v>-4.0376385347278001</c:v>
                </c:pt>
                <c:pt idx="1">
                  <c:v>-3.3652288594283291</c:v>
                </c:pt>
                <c:pt idx="2">
                  <c:v>-3.3326879522924271</c:v>
                </c:pt>
                <c:pt idx="3">
                  <c:v>-3.2223480505789501</c:v>
                </c:pt>
                <c:pt idx="4">
                  <c:v>-3.002050300888552</c:v>
                </c:pt>
                <c:pt idx="5">
                  <c:v>-2.7730138019486263</c:v>
                </c:pt>
                <c:pt idx="6">
                  <c:v>-2.0577993776813641</c:v>
                </c:pt>
                <c:pt idx="7">
                  <c:v>-1.5033035132682093</c:v>
                </c:pt>
                <c:pt idx="8">
                  <c:v>-0.97107307806636145</c:v>
                </c:pt>
                <c:pt idx="9">
                  <c:v>-0.9524120402881493</c:v>
                </c:pt>
                <c:pt idx="10">
                  <c:v>-0.35570359854910066</c:v>
                </c:pt>
                <c:pt idx="11">
                  <c:v>-4.5341099480604705E-2</c:v>
                </c:pt>
                <c:pt idx="12">
                  <c:v>0.34910282737822218</c:v>
                </c:pt>
                <c:pt idx="13">
                  <c:v>1.0335316151724501</c:v>
                </c:pt>
                <c:pt idx="14">
                  <c:v>2.3234422946036215</c:v>
                </c:pt>
                <c:pt idx="15">
                  <c:v>2.9004093059441174</c:v>
                </c:pt>
                <c:pt idx="16">
                  <c:v>2.7006784637214314</c:v>
                </c:pt>
                <c:pt idx="17">
                  <c:v>3.1455578972017841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0-4C5C-955B-E4620872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838640"/>
        <c:axId val="733837200"/>
      </c:scatterChart>
      <c:valAx>
        <c:axId val="73383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837200"/>
        <c:crosses val="autoZero"/>
        <c:crossBetween val="midCat"/>
      </c:valAx>
      <c:valAx>
        <c:axId val="7338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Ln</a:t>
                </a:r>
              </a:p>
              <a:p>
                <a:pPr>
                  <a:defRPr/>
                </a:pPr>
                <a:r>
                  <a:rPr lang="id-ID"/>
                  <a:t>(Ct/Co-Ct)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83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Tabel 3. Data Absorbansi Karbon Aktif merk X terhadap Logam Kromium, </a:t>
            </a:r>
          </a:p>
          <a:p>
            <a:pPr>
              <a:defRPr/>
            </a:pPr>
            <a:r>
              <a:rPr lang="id-ID" sz="110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475503062117233E-2"/>
                  <c:y val="0.37067882540323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'Yoon-Nelson'!$AG$5:$AG$18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'Yoon-Nelson'!$AL$5:$AL$18</c:f>
              <c:numCache>
                <c:formatCode>0.0000</c:formatCode>
                <c:ptCount val="14"/>
                <c:pt idx="0">
                  <c:v>-4.0395973838646482</c:v>
                </c:pt>
                <c:pt idx="1">
                  <c:v>-3.3652288594283291</c:v>
                </c:pt>
                <c:pt idx="2">
                  <c:v>-3.0027897632148464</c:v>
                </c:pt>
                <c:pt idx="3">
                  <c:v>-2.7730138019486263</c:v>
                </c:pt>
                <c:pt idx="4">
                  <c:v>-2.057965329290588</c:v>
                </c:pt>
                <c:pt idx="5">
                  <c:v>-1.503527492995576</c:v>
                </c:pt>
                <c:pt idx="6">
                  <c:v>-0.97115673719628159</c:v>
                </c:pt>
                <c:pt idx="7">
                  <c:v>-0.95241204028814952</c:v>
                </c:pt>
                <c:pt idx="8">
                  <c:v>-0.35570359854910055</c:v>
                </c:pt>
                <c:pt idx="9">
                  <c:v>0.34910282737822235</c:v>
                </c:pt>
                <c:pt idx="10">
                  <c:v>1.0335316151724503</c:v>
                </c:pt>
                <c:pt idx="11">
                  <c:v>2.3234422946036215</c:v>
                </c:pt>
                <c:pt idx="12">
                  <c:v>2.9000720804407933</c:v>
                </c:pt>
                <c:pt idx="13">
                  <c:v>3.1459792399007767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3-498F-B258-91B18979A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199752"/>
        <c:axId val="840197592"/>
      </c:scatterChart>
      <c:valAx>
        <c:axId val="84019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7592"/>
        <c:crosses val="autoZero"/>
        <c:crossBetween val="midCat"/>
      </c:valAx>
      <c:valAx>
        <c:axId val="84019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</a:t>
                </a:r>
              </a:p>
              <a:p>
                <a:pPr>
                  <a:defRPr/>
                </a:pPr>
                <a:r>
                  <a:rPr lang="en-US"/>
                  <a:t>(Ct/Co-Ct)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</a:t>
            </a: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abel 1. Data Absorbansi Karbon Aktif merk X terhadap Logam Kromium, </a:t>
            </a:r>
          </a:p>
          <a:p>
            <a:pPr>
              <a:defRPr/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791338582677163E-2"/>
                  <c:y val="-0.418816710411198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Thomas!$F$5:$F$26</c:f>
              <c:numCache>
                <c:formatCode>General</c:formatCode>
                <c:ptCount val="22"/>
                <c:pt idx="0">
                  <c:v>0.27</c:v>
                </c:pt>
                <c:pt idx="1">
                  <c:v>0.54</c:v>
                </c:pt>
                <c:pt idx="2">
                  <c:v>0.81</c:v>
                </c:pt>
                <c:pt idx="3">
                  <c:v>1.08</c:v>
                </c:pt>
                <c:pt idx="4">
                  <c:v>1.35</c:v>
                </c:pt>
                <c:pt idx="5">
                  <c:v>1.62</c:v>
                </c:pt>
                <c:pt idx="6">
                  <c:v>1.89</c:v>
                </c:pt>
                <c:pt idx="7">
                  <c:v>2.16</c:v>
                </c:pt>
                <c:pt idx="8">
                  <c:v>2.4300000000000002</c:v>
                </c:pt>
                <c:pt idx="9">
                  <c:v>2.7</c:v>
                </c:pt>
                <c:pt idx="10">
                  <c:v>2.97</c:v>
                </c:pt>
                <c:pt idx="11">
                  <c:v>3.24</c:v>
                </c:pt>
                <c:pt idx="12">
                  <c:v>3.51</c:v>
                </c:pt>
                <c:pt idx="13">
                  <c:v>3.78</c:v>
                </c:pt>
                <c:pt idx="14">
                  <c:v>4.05</c:v>
                </c:pt>
                <c:pt idx="15">
                  <c:v>4.32</c:v>
                </c:pt>
                <c:pt idx="16">
                  <c:v>4.59</c:v>
                </c:pt>
                <c:pt idx="17">
                  <c:v>4.8600000000000003</c:v>
                </c:pt>
                <c:pt idx="18">
                  <c:v>5.13</c:v>
                </c:pt>
                <c:pt idx="19">
                  <c:v>5.4</c:v>
                </c:pt>
                <c:pt idx="20">
                  <c:v>5.67</c:v>
                </c:pt>
                <c:pt idx="21">
                  <c:v>5.94</c:v>
                </c:pt>
              </c:numCache>
            </c:numRef>
          </c:xVal>
          <c:yVal>
            <c:numRef>
              <c:f>Thomas!$H$5:$H$26</c:f>
              <c:numCache>
                <c:formatCode>0.0000</c:formatCode>
                <c:ptCount val="22"/>
                <c:pt idx="0">
                  <c:v>4.3841348005402123</c:v>
                </c:pt>
                <c:pt idx="1">
                  <c:v>3.7810749551478668</c:v>
                </c:pt>
                <c:pt idx="2">
                  <c:v>3.431347891648326</c:v>
                </c:pt>
                <c:pt idx="3">
                  <c:v>3.3361994310502499</c:v>
                </c:pt>
                <c:pt idx="4">
                  <c:v>3.4941199430096432</c:v>
                </c:pt>
                <c:pt idx="5">
                  <c:v>3.2884371567507356</c:v>
                </c:pt>
                <c:pt idx="6">
                  <c:v>3.1214767966930426</c:v>
                </c:pt>
                <c:pt idx="7">
                  <c:v>2.981688828049661</c:v>
                </c:pt>
                <c:pt idx="8">
                  <c:v>1.868287477823193</c:v>
                </c:pt>
                <c:pt idx="9">
                  <c:v>1.3829851466288867</c:v>
                </c:pt>
                <c:pt idx="10">
                  <c:v>0.63388565578804712</c:v>
                </c:pt>
                <c:pt idx="11">
                  <c:v>0.77856149315724565</c:v>
                </c:pt>
                <c:pt idx="12">
                  <c:v>0.75289877776872316</c:v>
                </c:pt>
                <c:pt idx="13">
                  <c:v>-7.667754638350488E-2</c:v>
                </c:pt>
                <c:pt idx="14">
                  <c:v>-0.4867478066507499</c:v>
                </c:pt>
                <c:pt idx="15">
                  <c:v>-0.80156897491405821</c:v>
                </c:pt>
                <c:pt idx="16">
                  <c:v>-1.449815255510293</c:v>
                </c:pt>
                <c:pt idx="17">
                  <c:v>-1.7702599869648339</c:v>
                </c:pt>
                <c:pt idx="18">
                  <c:v>-2.9849594261855397</c:v>
                </c:pt>
                <c:pt idx="19">
                  <c:v>-3.1843218714287156</c:v>
                </c:pt>
                <c:pt idx="20">
                  <c:v>-2.5188100644919786</c:v>
                </c:pt>
                <c:pt idx="21">
                  <c:v>-2.925858262777743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1-4495-860E-82E514BE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84264"/>
        <c:axId val="922986424"/>
      </c:scatterChart>
      <c:valAx>
        <c:axId val="92298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2986424"/>
        <c:crosses val="autoZero"/>
        <c:crossBetween val="midCat"/>
      </c:valAx>
      <c:valAx>
        <c:axId val="92298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Ln</a:t>
                </a:r>
              </a:p>
              <a:p>
                <a:pPr>
                  <a:defRPr/>
                </a:pPr>
                <a:r>
                  <a:rPr lang="id-ID"/>
                  <a:t>((Ct/Co)-1)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2984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Tabel 2. Data Absorbansi Karbon Aktif merk X terhadap Logam Kromium, </a:t>
            </a:r>
          </a:p>
          <a:p>
            <a:pPr>
              <a:defRPr/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257217847769028E-2"/>
                  <c:y val="-0.424620151647710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Thomas!$T$5:$T$22</c:f>
              <c:numCache>
                <c:formatCode>General</c:formatCode>
                <c:ptCount val="18"/>
                <c:pt idx="0">
                  <c:v>0.27</c:v>
                </c:pt>
                <c:pt idx="1">
                  <c:v>0.54</c:v>
                </c:pt>
                <c:pt idx="2">
                  <c:v>0.81</c:v>
                </c:pt>
                <c:pt idx="3">
                  <c:v>1.08</c:v>
                </c:pt>
                <c:pt idx="4">
                  <c:v>1.35</c:v>
                </c:pt>
                <c:pt idx="5">
                  <c:v>1.62</c:v>
                </c:pt>
                <c:pt idx="6">
                  <c:v>1.89</c:v>
                </c:pt>
                <c:pt idx="7">
                  <c:v>2.16</c:v>
                </c:pt>
                <c:pt idx="8">
                  <c:v>2.4300000000000002</c:v>
                </c:pt>
                <c:pt idx="9">
                  <c:v>2.7</c:v>
                </c:pt>
                <c:pt idx="10">
                  <c:v>2.97</c:v>
                </c:pt>
                <c:pt idx="11">
                  <c:v>3.24</c:v>
                </c:pt>
                <c:pt idx="12">
                  <c:v>3.51</c:v>
                </c:pt>
                <c:pt idx="13">
                  <c:v>3.78</c:v>
                </c:pt>
                <c:pt idx="14">
                  <c:v>4.05</c:v>
                </c:pt>
                <c:pt idx="15">
                  <c:v>4.32</c:v>
                </c:pt>
                <c:pt idx="16">
                  <c:v>4.59</c:v>
                </c:pt>
                <c:pt idx="17">
                  <c:v>4.8600000000000003</c:v>
                </c:pt>
              </c:numCache>
            </c:numRef>
          </c:xVal>
          <c:yVal>
            <c:numRef>
              <c:f>Thomas!$V$5:$V$22</c:f>
              <c:numCache>
                <c:formatCode>0.0000</c:formatCode>
                <c:ptCount val="18"/>
                <c:pt idx="0">
                  <c:v>4.0376385347278001</c:v>
                </c:pt>
                <c:pt idx="1">
                  <c:v>3.3652288594283291</c:v>
                </c:pt>
                <c:pt idx="2">
                  <c:v>3.3326879522924271</c:v>
                </c:pt>
                <c:pt idx="3">
                  <c:v>3.2223480505789501</c:v>
                </c:pt>
                <c:pt idx="4">
                  <c:v>3.002050300888552</c:v>
                </c:pt>
                <c:pt idx="5">
                  <c:v>2.7730138019486259</c:v>
                </c:pt>
                <c:pt idx="6">
                  <c:v>2.0577993776813641</c:v>
                </c:pt>
                <c:pt idx="7">
                  <c:v>1.5033035132682093</c:v>
                </c:pt>
                <c:pt idx="8">
                  <c:v>0.97107307806636145</c:v>
                </c:pt>
                <c:pt idx="9">
                  <c:v>0.9524120402881493</c:v>
                </c:pt>
                <c:pt idx="10">
                  <c:v>0.35570359854910072</c:v>
                </c:pt>
                <c:pt idx="11">
                  <c:v>4.5341099480604614E-2</c:v>
                </c:pt>
                <c:pt idx="12">
                  <c:v>-0.34910282737822224</c:v>
                </c:pt>
                <c:pt idx="13">
                  <c:v>-1.0335316151724503</c:v>
                </c:pt>
                <c:pt idx="14">
                  <c:v>-2.3234422946036224</c:v>
                </c:pt>
                <c:pt idx="15">
                  <c:v>-2.9004093059441169</c:v>
                </c:pt>
                <c:pt idx="16">
                  <c:v>-2.7006784637214323</c:v>
                </c:pt>
                <c:pt idx="17">
                  <c:v>-3.1455578972017859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0-40EB-A1C4-C2BE1D9B4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193992"/>
        <c:axId val="840189672"/>
      </c:scatterChart>
      <c:valAx>
        <c:axId val="84019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89672"/>
        <c:crosses val="autoZero"/>
        <c:crossBetween val="midCat"/>
      </c:valAx>
      <c:valAx>
        <c:axId val="8401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Ln</a:t>
                </a:r>
              </a:p>
              <a:p>
                <a:pPr>
                  <a:defRPr/>
                </a:pPr>
                <a:r>
                  <a:rPr lang="id-ID"/>
                  <a:t>((Ct/Co)-1)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40193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Tabel 3. Data Absorbansi Karbon Aktif merk X terhadap Logam Kromium, </a:t>
            </a:r>
          </a:p>
          <a:p>
            <a:pPr>
              <a:defRPr/>
            </a:pPr>
            <a:r>
              <a:rPr lang="id-ID" sz="1050">
                <a:latin typeface="Times New Roman" panose="02020603050405020304" pitchFamily="18" charset="0"/>
                <a:cs typeface="Times New Roman" panose="02020603050405020304" pitchFamily="18" charset="0"/>
              </a:rPr>
              <a:t>Bed Depth Kolom 20 cm, V = 4,5 ml/min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8302930883639545E-2"/>
                  <c:y val="-0.383862642169728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Thomas!$AH$5:$AH$18</c:f>
              <c:numCache>
                <c:formatCode>General</c:formatCode>
                <c:ptCount val="14"/>
                <c:pt idx="0">
                  <c:v>0.27</c:v>
                </c:pt>
                <c:pt idx="1">
                  <c:v>0.54</c:v>
                </c:pt>
                <c:pt idx="2">
                  <c:v>0.81</c:v>
                </c:pt>
                <c:pt idx="3">
                  <c:v>1.08</c:v>
                </c:pt>
                <c:pt idx="4">
                  <c:v>1.35</c:v>
                </c:pt>
                <c:pt idx="5">
                  <c:v>1.62</c:v>
                </c:pt>
                <c:pt idx="6">
                  <c:v>1.89</c:v>
                </c:pt>
                <c:pt idx="7">
                  <c:v>2.16</c:v>
                </c:pt>
                <c:pt idx="8">
                  <c:v>2.4300000000000002</c:v>
                </c:pt>
                <c:pt idx="9">
                  <c:v>2.7</c:v>
                </c:pt>
                <c:pt idx="10">
                  <c:v>2.97</c:v>
                </c:pt>
                <c:pt idx="11">
                  <c:v>3.24</c:v>
                </c:pt>
                <c:pt idx="12">
                  <c:v>3.51</c:v>
                </c:pt>
                <c:pt idx="13">
                  <c:v>3.78</c:v>
                </c:pt>
              </c:numCache>
            </c:numRef>
          </c:xVal>
          <c:yVal>
            <c:numRef>
              <c:f>Thomas!$AJ$5:$AJ$18</c:f>
              <c:numCache>
                <c:formatCode>0.0000</c:formatCode>
                <c:ptCount val="14"/>
                <c:pt idx="0">
                  <c:v>4.0395973838646482</c:v>
                </c:pt>
                <c:pt idx="1">
                  <c:v>3.3652288594283291</c:v>
                </c:pt>
                <c:pt idx="2">
                  <c:v>3.0027897632148464</c:v>
                </c:pt>
                <c:pt idx="3">
                  <c:v>2.7730138019486263</c:v>
                </c:pt>
                <c:pt idx="4">
                  <c:v>2.0579653292905875</c:v>
                </c:pt>
                <c:pt idx="5">
                  <c:v>1.503527492995576</c:v>
                </c:pt>
                <c:pt idx="6">
                  <c:v>0.97115673719628159</c:v>
                </c:pt>
                <c:pt idx="7">
                  <c:v>0.95241204028814941</c:v>
                </c:pt>
                <c:pt idx="8">
                  <c:v>0.35570359854910039</c:v>
                </c:pt>
                <c:pt idx="9">
                  <c:v>-0.34910282737822224</c:v>
                </c:pt>
                <c:pt idx="10">
                  <c:v>-1.0335316151724503</c:v>
                </c:pt>
                <c:pt idx="11">
                  <c:v>-2.3234422946036224</c:v>
                </c:pt>
                <c:pt idx="12">
                  <c:v>-2.9000720804407911</c:v>
                </c:pt>
                <c:pt idx="13">
                  <c:v>-3.1459792399007749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F-4785-BC8D-ECF0A99BE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225048"/>
        <c:axId val="921226128"/>
      </c:scatterChart>
      <c:valAx>
        <c:axId val="92122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(L)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1226128"/>
        <c:crosses val="autoZero"/>
        <c:crossBetween val="midCat"/>
      </c:valAx>
      <c:valAx>
        <c:axId val="9212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Ln</a:t>
                </a:r>
              </a:p>
              <a:p>
                <a:pPr>
                  <a:defRPr/>
                </a:pPr>
                <a:r>
                  <a:rPr lang="id-ID"/>
                  <a:t>((Ct/Co)-1)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1225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Breaktrough </a:t>
            </a:r>
            <a:endParaRPr lang="id-ID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'Kurva Breaktrough'!$C$5:$C$26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'Kurva Breaktrough'!$I$5:$I$26</c:f>
              <c:numCache>
                <c:formatCode>0.0000</c:formatCode>
                <c:ptCount val="22"/>
                <c:pt idx="0">
                  <c:v>1.2320000000000001E-2</c:v>
                </c:pt>
                <c:pt idx="1">
                  <c:v>2.2289999999999997E-2</c:v>
                </c:pt>
                <c:pt idx="2">
                  <c:v>3.1330000000000004E-2</c:v>
                </c:pt>
                <c:pt idx="3">
                  <c:v>3.4350000000000006E-2</c:v>
                </c:pt>
                <c:pt idx="4">
                  <c:v>2.9479999999999999E-2</c:v>
                </c:pt>
                <c:pt idx="5">
                  <c:v>3.5970000000000002E-2</c:v>
                </c:pt>
                <c:pt idx="6">
                  <c:v>4.2230000000000004E-2</c:v>
                </c:pt>
                <c:pt idx="7">
                  <c:v>4.8259999999999997E-2</c:v>
                </c:pt>
                <c:pt idx="8">
                  <c:v>0.13374</c:v>
                </c:pt>
                <c:pt idx="9">
                  <c:v>0.20053000000000001</c:v>
                </c:pt>
                <c:pt idx="10">
                  <c:v>0.34662999999999999</c:v>
                </c:pt>
                <c:pt idx="11">
                  <c:v>0.31463000000000002</c:v>
                </c:pt>
                <c:pt idx="12">
                  <c:v>0.32019000000000003</c:v>
                </c:pt>
                <c:pt idx="13">
                  <c:v>0.51916000000000007</c:v>
                </c:pt>
                <c:pt idx="14">
                  <c:v>0.61934</c:v>
                </c:pt>
                <c:pt idx="15">
                  <c:v>0.69030999999999998</c:v>
                </c:pt>
                <c:pt idx="16">
                  <c:v>0.80997000000000008</c:v>
                </c:pt>
                <c:pt idx="17">
                  <c:v>0.85448999999999997</c:v>
                </c:pt>
                <c:pt idx="18">
                  <c:v>0.95189000000000001</c:v>
                </c:pt>
                <c:pt idx="19">
                  <c:v>0.96023999999999998</c:v>
                </c:pt>
                <c:pt idx="20">
                  <c:v>0.92544999999999999</c:v>
                </c:pt>
                <c:pt idx="21">
                  <c:v>0.9491099999999999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56-42B8-ADF7-7E10DD625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232816"/>
        <c:axId val="839229576"/>
      </c:scatterChart>
      <c:valAx>
        <c:axId val="83923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39229576"/>
        <c:crosses val="autoZero"/>
        <c:crossBetween val="midCat"/>
      </c:valAx>
      <c:valAx>
        <c:axId val="83922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Ct/Co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3923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Breaktrough </a:t>
            </a:r>
            <a:endParaRPr lang="id-ID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'Kurva Breaktrough'!$M$5:$M$22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'Kurva Breaktrough'!$S$5:$S$22</c:f>
              <c:numCache>
                <c:formatCode>0.0000</c:formatCode>
                <c:ptCount val="18"/>
                <c:pt idx="0">
                  <c:v>1.7333333333333333E-2</c:v>
                </c:pt>
                <c:pt idx="1">
                  <c:v>3.3399999999999999E-2</c:v>
                </c:pt>
                <c:pt idx="2">
                  <c:v>3.4466666666666666E-2</c:v>
                </c:pt>
                <c:pt idx="3">
                  <c:v>3.833333333333333E-2</c:v>
                </c:pt>
                <c:pt idx="4">
                  <c:v>4.7333333333333331E-2</c:v>
                </c:pt>
                <c:pt idx="5">
                  <c:v>5.8799999999999998E-2</c:v>
                </c:pt>
                <c:pt idx="6">
                  <c:v>0.11326666666666667</c:v>
                </c:pt>
                <c:pt idx="7">
                  <c:v>0.18193333333333334</c:v>
                </c:pt>
                <c:pt idx="8">
                  <c:v>0.27466666666666667</c:v>
                </c:pt>
                <c:pt idx="9">
                  <c:v>0.27840000000000004</c:v>
                </c:pt>
                <c:pt idx="10">
                  <c:v>0.41199999999999998</c:v>
                </c:pt>
                <c:pt idx="11">
                  <c:v>0.48866666666666669</c:v>
                </c:pt>
                <c:pt idx="12">
                  <c:v>0.58639999999999992</c:v>
                </c:pt>
                <c:pt idx="13">
                  <c:v>0.73760000000000003</c:v>
                </c:pt>
                <c:pt idx="14">
                  <c:v>0.91080000000000005</c:v>
                </c:pt>
                <c:pt idx="15">
                  <c:v>0.94786666666666664</c:v>
                </c:pt>
                <c:pt idx="16">
                  <c:v>0.9370666666666666</c:v>
                </c:pt>
                <c:pt idx="17">
                  <c:v>0.95873333333333333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05-45EF-BA0D-0B5BF43A3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988608"/>
        <c:axId val="741983568"/>
      </c:scatterChart>
      <c:valAx>
        <c:axId val="74198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Operasi (Jam)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41983568"/>
        <c:crosses val="autoZero"/>
        <c:crossBetween val="midCat"/>
      </c:valAx>
      <c:valAx>
        <c:axId val="7419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Ct/Co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4198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Breaktrough </a:t>
            </a:r>
            <a:endParaRPr lang="id-ID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'Kurva Breaktrough'!$W$5:$W$18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'Kurva Breaktrough'!$AC$5:$AC$18</c:f>
              <c:numCache>
                <c:formatCode>0.0000</c:formatCode>
                <c:ptCount val="14"/>
                <c:pt idx="0">
                  <c:v>1.7299999999999999E-2</c:v>
                </c:pt>
                <c:pt idx="1">
                  <c:v>3.3399999999999999E-2</c:v>
                </c:pt>
                <c:pt idx="2">
                  <c:v>4.7299999999999995E-2</c:v>
                </c:pt>
                <c:pt idx="3">
                  <c:v>5.8799999999999998E-2</c:v>
                </c:pt>
                <c:pt idx="4">
                  <c:v>0.11325</c:v>
                </c:pt>
                <c:pt idx="5">
                  <c:v>0.18190000000000001</c:v>
                </c:pt>
                <c:pt idx="6">
                  <c:v>0.27465000000000001</c:v>
                </c:pt>
                <c:pt idx="7">
                  <c:v>0.27839999999999998</c:v>
                </c:pt>
                <c:pt idx="8">
                  <c:v>0.41200000000000003</c:v>
                </c:pt>
                <c:pt idx="9">
                  <c:v>0.58640000000000003</c:v>
                </c:pt>
                <c:pt idx="10">
                  <c:v>0.73760000000000003</c:v>
                </c:pt>
                <c:pt idx="11">
                  <c:v>0.91080000000000005</c:v>
                </c:pt>
                <c:pt idx="12">
                  <c:v>0.94785000000000008</c:v>
                </c:pt>
                <c:pt idx="13">
                  <c:v>0.95874999999999999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DC-46A7-B116-292455890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786440"/>
        <c:axId val="733788960"/>
      </c:scatterChart>
      <c:valAx>
        <c:axId val="73378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Waktu Operasi (Jam)</a:t>
                </a:r>
                <a:endParaRPr lang="id-ID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8960"/>
        <c:crosses val="autoZero"/>
        <c:crossBetween val="midCat"/>
      </c:valAx>
      <c:valAx>
        <c:axId val="7337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Ct/Co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3378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3</xdr:row>
      <xdr:rowOff>3810</xdr:rowOff>
    </xdr:from>
    <xdr:to>
      <xdr:col>14</xdr:col>
      <xdr:colOff>434340</xdr:colOff>
      <xdr:row>17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E1E55D-85AD-6A30-C944-3ECC547B3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182880</xdr:colOff>
      <xdr:row>2</xdr:row>
      <xdr:rowOff>758190</xdr:rowOff>
    </xdr:from>
    <xdr:to>
      <xdr:col>28</xdr:col>
      <xdr:colOff>411480</xdr:colOff>
      <xdr:row>18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306610-03F1-204F-4FB8-3258166D9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266700</xdr:colOff>
      <xdr:row>2</xdr:row>
      <xdr:rowOff>750570</xdr:rowOff>
    </xdr:from>
    <xdr:to>
      <xdr:col>42</xdr:col>
      <xdr:colOff>266700</xdr:colOff>
      <xdr:row>17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55E263-C71F-198D-403A-CC0EB8892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297180</xdr:colOff>
      <xdr:row>2</xdr:row>
      <xdr:rowOff>651510</xdr:rowOff>
    </xdr:from>
    <xdr:to>
      <xdr:col>14</xdr:col>
      <xdr:colOff>525780</xdr:colOff>
      <xdr:row>16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EFD38-37C7-FDDD-8688-1854CBECA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251460</xdr:colOff>
      <xdr:row>2</xdr:row>
      <xdr:rowOff>643890</xdr:rowOff>
    </xdr:from>
    <xdr:to>
      <xdr:col>29</xdr:col>
      <xdr:colOff>480060</xdr:colOff>
      <xdr:row>16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CB30C0-8866-E146-AB3D-2A74FE7F4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274320</xdr:colOff>
      <xdr:row>2</xdr:row>
      <xdr:rowOff>636270</xdr:rowOff>
    </xdr:from>
    <xdr:to>
      <xdr:col>44</xdr:col>
      <xdr:colOff>502920</xdr:colOff>
      <xdr:row>16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226CE8-56A0-A8A0-DC83-97C940F8D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296883</xdr:colOff>
      <xdr:row>3</xdr:row>
      <xdr:rowOff>23750</xdr:rowOff>
    </xdr:from>
    <xdr:to>
      <xdr:col>14</xdr:col>
      <xdr:colOff>514597</xdr:colOff>
      <xdr:row>17</xdr:row>
      <xdr:rowOff>15833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FB9AB5-0B7B-3BB2-B8F7-7F0FED712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217714</xdr:colOff>
      <xdr:row>3</xdr:row>
      <xdr:rowOff>3958</xdr:rowOff>
    </xdr:from>
    <xdr:to>
      <xdr:col>28</xdr:col>
      <xdr:colOff>435428</xdr:colOff>
      <xdr:row>18</xdr:row>
      <xdr:rowOff>75210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C16D81-6ABF-9101-A3DA-9DAC4AD51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237506</xdr:colOff>
      <xdr:row>2</xdr:row>
      <xdr:rowOff>251361</xdr:rowOff>
    </xdr:from>
    <xdr:to>
      <xdr:col>42</xdr:col>
      <xdr:colOff>455220</xdr:colOff>
      <xdr:row>14</xdr:row>
      <xdr:rowOff>154379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1F8165-D932-95F2-F60A-021559B16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601981</xdr:colOff>
      <xdr:row>28</xdr:row>
      <xdr:rowOff>156210</xdr:rowOff>
    </xdr:from>
    <xdr:to>
      <xdr:col>5</xdr:col>
      <xdr:colOff>7856</xdr:colOff>
      <xdr:row>43</xdr:row>
      <xdr:rowOff>157113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139811-57D3-2D70-9507-525703E47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603944</xdr:colOff>
      <xdr:row>28</xdr:row>
      <xdr:rowOff>26905</xdr:rowOff>
    </xdr:from>
    <xdr:to>
      <xdr:col>15</xdr:col>
      <xdr:colOff>23566</xdr:colOff>
      <xdr:row>44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9FAF7E-1EB6-12C7-C5B9-7D166F44D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612742</xdr:colOff>
      <xdr:row>28</xdr:row>
      <xdr:rowOff>38492</xdr:rowOff>
    </xdr:from>
    <xdr:to>
      <xdr:col>25</xdr:col>
      <xdr:colOff>15712</xdr:colOff>
      <xdr:row>44</xdr:row>
      <xdr:rowOff>31421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6C15A0-F376-80CA-001C-6B15C541C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AT55"/>
  <sheetViews>
    <sheetView topLeftCell="X6" zoomScaleNormal="70" workbookViewId="0">
      <selection activeCell="AG24" sqref="AG24"/>
    </sheetView>
  </sheetViews>
  <sheetFormatPr defaultColWidth="12.6640625" defaultRowHeight="15.75" customHeight="1"/>
  <cols>
    <col min="5" max="5" width="15" customWidth="1"/>
    <col min="6" max="6" width="15.5546875" customWidth="1"/>
    <col min="19" max="19" width="15.21875" customWidth="1"/>
    <col min="20" max="20" width="14.44140625" customWidth="1"/>
    <col min="33" max="33" width="14.77734375" customWidth="1"/>
    <col min="34" max="34" width="15.109375" customWidth="1"/>
  </cols>
  <sheetData>
    <row r="2" spans="2:37" ht="32.4" customHeight="1">
      <c r="B2" s="60" t="s">
        <v>41</v>
      </c>
      <c r="C2" s="46"/>
      <c r="D2" s="46"/>
      <c r="E2" s="46"/>
      <c r="F2" s="46"/>
      <c r="G2" s="46"/>
      <c r="H2" s="46"/>
      <c r="I2" s="46"/>
      <c r="J2" s="2"/>
      <c r="K2" s="2"/>
      <c r="L2" s="2"/>
      <c r="M2" s="2"/>
      <c r="N2" s="2"/>
      <c r="O2" s="2"/>
      <c r="P2" s="60" t="s">
        <v>40</v>
      </c>
      <c r="Q2" s="46"/>
      <c r="R2" s="46"/>
      <c r="S2" s="46"/>
      <c r="T2" s="46"/>
      <c r="U2" s="46"/>
      <c r="V2" s="46"/>
      <c r="W2" s="46"/>
      <c r="AD2" s="60" t="s">
        <v>42</v>
      </c>
      <c r="AE2" s="46"/>
      <c r="AF2" s="46"/>
      <c r="AG2" s="46"/>
      <c r="AH2" s="46"/>
      <c r="AI2" s="46"/>
      <c r="AJ2" s="46"/>
      <c r="AK2" s="46"/>
    </row>
    <row r="3" spans="2:37" ht="60.75" customHeight="1">
      <c r="B3" s="3" t="s">
        <v>0</v>
      </c>
      <c r="C3" s="52" t="s">
        <v>1</v>
      </c>
      <c r="D3" s="52" t="s">
        <v>2</v>
      </c>
      <c r="E3" s="52" t="s">
        <v>36</v>
      </c>
      <c r="F3" s="52" t="s">
        <v>4</v>
      </c>
      <c r="G3" s="52" t="s">
        <v>5</v>
      </c>
      <c r="H3" s="52" t="s">
        <v>6</v>
      </c>
      <c r="I3" s="3" t="s">
        <v>7</v>
      </c>
      <c r="J3" s="2"/>
      <c r="K3" s="2"/>
      <c r="L3" s="2"/>
      <c r="M3" s="2"/>
      <c r="N3" s="2"/>
      <c r="O3" s="2"/>
      <c r="P3" s="24" t="s">
        <v>0</v>
      </c>
      <c r="Q3" s="53" t="s">
        <v>1</v>
      </c>
      <c r="R3" s="53" t="s">
        <v>2</v>
      </c>
      <c r="S3" s="53" t="s">
        <v>36</v>
      </c>
      <c r="T3" s="53" t="s">
        <v>32</v>
      </c>
      <c r="U3" s="53" t="s">
        <v>5</v>
      </c>
      <c r="V3" s="53" t="s">
        <v>6</v>
      </c>
      <c r="W3" s="24" t="s">
        <v>7</v>
      </c>
      <c r="AD3" s="110" t="s">
        <v>0</v>
      </c>
      <c r="AE3" s="54" t="s">
        <v>1</v>
      </c>
      <c r="AF3" s="54" t="s">
        <v>2</v>
      </c>
      <c r="AG3" s="54" t="s">
        <v>3</v>
      </c>
      <c r="AH3" s="54" t="s">
        <v>32</v>
      </c>
      <c r="AI3" s="54" t="s">
        <v>5</v>
      </c>
      <c r="AJ3" s="54" t="s">
        <v>6</v>
      </c>
      <c r="AK3" s="28" t="s">
        <v>7</v>
      </c>
    </row>
    <row r="4" spans="2:37" ht="19.5" customHeight="1">
      <c r="B4" s="4" t="s">
        <v>8</v>
      </c>
      <c r="C4" s="4" t="s">
        <v>9</v>
      </c>
      <c r="D4" s="4" t="s">
        <v>10</v>
      </c>
      <c r="E4" s="4" t="s">
        <v>10</v>
      </c>
      <c r="F4" s="4"/>
      <c r="G4" s="4" t="s">
        <v>11</v>
      </c>
      <c r="H4" s="4"/>
      <c r="I4" s="4"/>
      <c r="J4" s="1"/>
      <c r="K4" s="1"/>
      <c r="L4" s="1"/>
      <c r="M4" s="1"/>
      <c r="N4" s="1"/>
      <c r="O4" s="1"/>
      <c r="P4" s="25" t="s">
        <v>8</v>
      </c>
      <c r="Q4" s="25" t="s">
        <v>9</v>
      </c>
      <c r="R4" s="25" t="s">
        <v>10</v>
      </c>
      <c r="S4" s="25" t="s">
        <v>10</v>
      </c>
      <c r="T4" s="25" t="s">
        <v>33</v>
      </c>
      <c r="U4" s="25" t="s">
        <v>11</v>
      </c>
      <c r="V4" s="25"/>
      <c r="W4" s="25"/>
      <c r="AD4" s="29" t="s">
        <v>8</v>
      </c>
      <c r="AE4" s="29" t="s">
        <v>9</v>
      </c>
      <c r="AF4" s="29" t="s">
        <v>10</v>
      </c>
      <c r="AG4" s="29" t="s">
        <v>10</v>
      </c>
      <c r="AH4" s="29" t="s">
        <v>33</v>
      </c>
      <c r="AI4" s="29" t="s">
        <v>11</v>
      </c>
      <c r="AJ4" s="29"/>
      <c r="AK4" s="29"/>
    </row>
    <row r="5" spans="2:37" ht="13.8">
      <c r="B5" s="5">
        <v>1</v>
      </c>
      <c r="C5" s="5">
        <v>1</v>
      </c>
      <c r="D5" s="5">
        <v>10</v>
      </c>
      <c r="E5" s="6">
        <v>0.1232</v>
      </c>
      <c r="F5" s="105">
        <v>0.27</v>
      </c>
      <c r="G5" s="8">
        <v>0.99</v>
      </c>
      <c r="H5" s="9">
        <f t="shared" ref="H5:H26" si="0">LN(E5/D5)</f>
        <v>-4.3965313208767629</v>
      </c>
      <c r="I5" s="9">
        <f t="shared" ref="I5:I26" si="1">E5/D5</f>
        <v>1.2320000000000001E-2</v>
      </c>
      <c r="J5" s="1"/>
      <c r="K5" s="1"/>
      <c r="L5" s="1"/>
      <c r="M5" s="1"/>
      <c r="N5" s="1"/>
      <c r="O5" s="1"/>
      <c r="P5" s="5">
        <v>1</v>
      </c>
      <c r="Q5" s="5">
        <v>1</v>
      </c>
      <c r="R5" s="6">
        <v>15</v>
      </c>
      <c r="S5" s="6">
        <v>0.26</v>
      </c>
      <c r="T5" s="6">
        <v>0.27</v>
      </c>
      <c r="U5" s="8">
        <v>0.98</v>
      </c>
      <c r="V5" s="9">
        <f t="shared" ref="V5:V22" si="2">LN(S5/R5)</f>
        <v>-4.0551238490688197</v>
      </c>
      <c r="W5" s="9">
        <f t="shared" ref="W5:W22" si="3">S5/R5</f>
        <v>1.7333333333333333E-2</v>
      </c>
      <c r="AD5" s="5">
        <v>1</v>
      </c>
      <c r="AE5" s="5">
        <v>1</v>
      </c>
      <c r="AF5" s="6">
        <v>20</v>
      </c>
      <c r="AG5" s="6">
        <v>0.34599999999999997</v>
      </c>
      <c r="AH5" s="6">
        <v>0.27</v>
      </c>
      <c r="AI5" s="8">
        <v>0.98</v>
      </c>
      <c r="AJ5" s="9">
        <f t="shared" ref="AJ5:AJ18" si="4">LN(AG5/AF5)</f>
        <v>-4.0570487774784034</v>
      </c>
      <c r="AK5" s="9">
        <f t="shared" ref="AK5:AK18" si="5">AG5/AF5</f>
        <v>1.7299999999999999E-2</v>
      </c>
    </row>
    <row r="6" spans="2:37" ht="13.8">
      <c r="B6" s="5">
        <v>2</v>
      </c>
      <c r="C6" s="5">
        <v>2</v>
      </c>
      <c r="D6" s="5">
        <v>10</v>
      </c>
      <c r="E6" s="6">
        <v>0.22289999999999999</v>
      </c>
      <c r="F6" s="105">
        <v>0.54</v>
      </c>
      <c r="G6" s="8">
        <v>0.98</v>
      </c>
      <c r="H6" s="9">
        <f t="shared" si="0"/>
        <v>-3.8036171315843599</v>
      </c>
      <c r="I6" s="9">
        <f t="shared" si="1"/>
        <v>2.2289999999999997E-2</v>
      </c>
      <c r="J6" s="1"/>
      <c r="K6" s="1"/>
      <c r="L6" s="1"/>
      <c r="M6" s="1"/>
      <c r="N6" s="1"/>
      <c r="O6" s="1"/>
      <c r="P6" s="5">
        <v>2</v>
      </c>
      <c r="Q6" s="5">
        <v>2</v>
      </c>
      <c r="R6" s="6">
        <v>15</v>
      </c>
      <c r="S6" s="6">
        <v>0.501</v>
      </c>
      <c r="T6" s="6">
        <v>0.54</v>
      </c>
      <c r="U6" s="8">
        <v>0.97</v>
      </c>
      <c r="V6" s="9">
        <f t="shared" si="2"/>
        <v>-3.3991993789994823</v>
      </c>
      <c r="W6" s="9">
        <f t="shared" si="3"/>
        <v>3.3399999999999999E-2</v>
      </c>
      <c r="AD6" s="5">
        <v>2</v>
      </c>
      <c r="AE6" s="5">
        <v>2</v>
      </c>
      <c r="AF6" s="6">
        <v>20</v>
      </c>
      <c r="AG6" s="6">
        <v>0.66800000000000004</v>
      </c>
      <c r="AH6" s="6">
        <v>0.54</v>
      </c>
      <c r="AI6" s="8">
        <v>0.97</v>
      </c>
      <c r="AJ6" s="9">
        <f t="shared" si="4"/>
        <v>-3.3991993789994823</v>
      </c>
      <c r="AK6" s="9">
        <f t="shared" si="5"/>
        <v>3.3399999999999999E-2</v>
      </c>
    </row>
    <row r="7" spans="2:37" ht="13.8">
      <c r="B7" s="5">
        <v>3</v>
      </c>
      <c r="C7" s="5">
        <v>3</v>
      </c>
      <c r="D7" s="5">
        <v>10</v>
      </c>
      <c r="E7" s="6">
        <v>0.31330000000000002</v>
      </c>
      <c r="F7" s="105">
        <v>0.81</v>
      </c>
      <c r="G7" s="8">
        <v>0.97</v>
      </c>
      <c r="H7" s="9">
        <f t="shared" si="0"/>
        <v>-3.4631791740180367</v>
      </c>
      <c r="I7" s="9">
        <f t="shared" si="1"/>
        <v>3.1330000000000004E-2</v>
      </c>
      <c r="J7" s="1"/>
      <c r="K7" s="1"/>
      <c r="L7" s="1"/>
      <c r="M7" s="1"/>
      <c r="N7" s="1"/>
      <c r="O7" s="1"/>
      <c r="P7" s="5">
        <v>3</v>
      </c>
      <c r="Q7" s="5">
        <v>3</v>
      </c>
      <c r="R7" s="6">
        <v>15</v>
      </c>
      <c r="S7" s="6">
        <v>0.51700000000000002</v>
      </c>
      <c r="T7" s="6">
        <v>0.81</v>
      </c>
      <c r="U7" s="8">
        <v>0.97</v>
      </c>
      <c r="V7" s="9">
        <f t="shared" si="2"/>
        <v>-3.3677626055759178</v>
      </c>
      <c r="W7" s="9">
        <f t="shared" si="3"/>
        <v>3.4466666666666666E-2</v>
      </c>
      <c r="AD7" s="10">
        <v>3</v>
      </c>
      <c r="AE7" s="10">
        <v>3</v>
      </c>
      <c r="AF7" s="11">
        <v>20</v>
      </c>
      <c r="AG7" s="11">
        <v>0.94599999999999995</v>
      </c>
      <c r="AH7" s="11">
        <v>0.81</v>
      </c>
      <c r="AI7" s="13">
        <v>0.95</v>
      </c>
      <c r="AJ7" s="9">
        <f t="shared" si="4"/>
        <v>-3.0512449834842497</v>
      </c>
      <c r="AK7" s="9">
        <f t="shared" si="5"/>
        <v>4.7299999999999995E-2</v>
      </c>
    </row>
    <row r="8" spans="2:37" ht="13.8">
      <c r="B8" s="5">
        <v>4</v>
      </c>
      <c r="C8" s="5">
        <v>4</v>
      </c>
      <c r="D8" s="5">
        <v>10</v>
      </c>
      <c r="E8" s="6">
        <v>0.34350000000000003</v>
      </c>
      <c r="F8" s="105">
        <v>1.08</v>
      </c>
      <c r="G8" s="8">
        <v>0.97</v>
      </c>
      <c r="H8" s="9">
        <f t="shared" si="0"/>
        <v>-3.3711532603137786</v>
      </c>
      <c r="I8" s="9">
        <f t="shared" si="1"/>
        <v>3.4350000000000006E-2</v>
      </c>
      <c r="J8" s="1"/>
      <c r="K8" s="1"/>
      <c r="L8" s="1"/>
      <c r="M8" s="1"/>
      <c r="N8" s="1"/>
      <c r="O8" s="1"/>
      <c r="P8" s="5">
        <v>4</v>
      </c>
      <c r="Q8" s="5">
        <v>4</v>
      </c>
      <c r="R8" s="6">
        <v>15</v>
      </c>
      <c r="S8" s="6">
        <v>0.57499999999999996</v>
      </c>
      <c r="T8" s="6">
        <v>1.08</v>
      </c>
      <c r="U8" s="8">
        <v>0.96</v>
      </c>
      <c r="V8" s="9">
        <f t="shared" si="2"/>
        <v>-3.2614354392869966</v>
      </c>
      <c r="W8" s="9">
        <f t="shared" si="3"/>
        <v>3.833333333333333E-2</v>
      </c>
      <c r="AD8" s="5">
        <v>4</v>
      </c>
      <c r="AE8" s="5">
        <v>4</v>
      </c>
      <c r="AF8" s="6">
        <v>20</v>
      </c>
      <c r="AG8" s="6">
        <v>1.1759999999999999</v>
      </c>
      <c r="AH8" s="6">
        <v>1.08</v>
      </c>
      <c r="AI8" s="8">
        <v>0.94</v>
      </c>
      <c r="AJ8" s="9">
        <f t="shared" si="4"/>
        <v>-2.8336134240775559</v>
      </c>
      <c r="AK8" s="9">
        <f t="shared" si="5"/>
        <v>5.8799999999999998E-2</v>
      </c>
    </row>
    <row r="9" spans="2:37" ht="13.8">
      <c r="B9" s="5">
        <v>5</v>
      </c>
      <c r="C9" s="5">
        <v>5</v>
      </c>
      <c r="D9" s="5">
        <v>10</v>
      </c>
      <c r="E9" s="6">
        <v>0.29480000000000001</v>
      </c>
      <c r="F9" s="105">
        <v>1.35</v>
      </c>
      <c r="G9" s="8">
        <v>0.97</v>
      </c>
      <c r="H9" s="9">
        <f t="shared" si="0"/>
        <v>-3.5240432116610014</v>
      </c>
      <c r="I9" s="9">
        <f t="shared" si="1"/>
        <v>2.9479999999999999E-2</v>
      </c>
      <c r="J9" s="1"/>
      <c r="K9" s="1"/>
      <c r="L9" s="1"/>
      <c r="M9" s="1"/>
      <c r="N9" s="1"/>
      <c r="O9" s="1"/>
      <c r="P9" s="5">
        <v>5</v>
      </c>
      <c r="Q9" s="5">
        <v>5</v>
      </c>
      <c r="R9" s="6">
        <v>15</v>
      </c>
      <c r="S9" s="6">
        <v>0.71</v>
      </c>
      <c r="T9" s="6">
        <v>1.35</v>
      </c>
      <c r="U9" s="8">
        <v>0.95</v>
      </c>
      <c r="V9" s="9">
        <f t="shared" si="2"/>
        <v>-3.050540510048986</v>
      </c>
      <c r="W9" s="9">
        <f t="shared" si="3"/>
        <v>4.7333333333333331E-2</v>
      </c>
      <c r="AD9" s="5">
        <v>5</v>
      </c>
      <c r="AE9" s="5">
        <v>5</v>
      </c>
      <c r="AF9" s="6">
        <v>20</v>
      </c>
      <c r="AG9" s="6">
        <v>2.2650000000000001</v>
      </c>
      <c r="AH9" s="6">
        <v>1.35</v>
      </c>
      <c r="AI9" s="8">
        <v>0.89</v>
      </c>
      <c r="AJ9" s="9">
        <f t="shared" si="4"/>
        <v>-2.1781575146189938</v>
      </c>
      <c r="AK9" s="9">
        <f t="shared" si="5"/>
        <v>0.11325</v>
      </c>
    </row>
    <row r="10" spans="2:37" ht="13.8">
      <c r="B10" s="5">
        <v>6</v>
      </c>
      <c r="C10" s="5">
        <v>6</v>
      </c>
      <c r="D10" s="5">
        <v>10</v>
      </c>
      <c r="E10" s="6">
        <v>0.35970000000000002</v>
      </c>
      <c r="F10" s="105">
        <v>1.62</v>
      </c>
      <c r="G10" s="8">
        <v>0.96</v>
      </c>
      <c r="H10" s="9">
        <f t="shared" si="0"/>
        <v>-3.3250700212746045</v>
      </c>
      <c r="I10" s="9">
        <f t="shared" si="1"/>
        <v>3.5970000000000002E-2</v>
      </c>
      <c r="J10" s="1"/>
      <c r="K10" s="1"/>
      <c r="L10" s="1"/>
      <c r="M10" s="1"/>
      <c r="N10" s="1"/>
      <c r="O10" s="1"/>
      <c r="P10" s="10">
        <v>6</v>
      </c>
      <c r="Q10" s="10">
        <v>6</v>
      </c>
      <c r="R10" s="11">
        <v>15</v>
      </c>
      <c r="S10" s="11">
        <v>0.88200000000000001</v>
      </c>
      <c r="T10" s="11">
        <v>1.62</v>
      </c>
      <c r="U10" s="13">
        <v>0.94</v>
      </c>
      <c r="V10" s="9">
        <f t="shared" si="2"/>
        <v>-2.8336134240775559</v>
      </c>
      <c r="W10" s="9">
        <f t="shared" si="3"/>
        <v>5.8799999999999998E-2</v>
      </c>
      <c r="AD10" s="5">
        <v>6</v>
      </c>
      <c r="AE10" s="5">
        <v>6</v>
      </c>
      <c r="AF10" s="6">
        <v>20</v>
      </c>
      <c r="AG10" s="6">
        <v>3.6379999999999999</v>
      </c>
      <c r="AH10" s="6">
        <v>1.62</v>
      </c>
      <c r="AI10" s="8">
        <v>0.82</v>
      </c>
      <c r="AJ10" s="9">
        <f t="shared" si="4"/>
        <v>-1.7042981934580606</v>
      </c>
      <c r="AK10" s="9">
        <f t="shared" si="5"/>
        <v>0.18190000000000001</v>
      </c>
    </row>
    <row r="11" spans="2:37" ht="13.8">
      <c r="B11" s="5">
        <v>7</v>
      </c>
      <c r="C11" s="5">
        <v>7</v>
      </c>
      <c r="D11" s="5">
        <v>10</v>
      </c>
      <c r="E11" s="6">
        <v>0.42230000000000001</v>
      </c>
      <c r="F11" s="105">
        <v>1.89</v>
      </c>
      <c r="G11" s="8">
        <v>0.96</v>
      </c>
      <c r="H11" s="9">
        <f t="shared" si="0"/>
        <v>-3.1646244100362848</v>
      </c>
      <c r="I11" s="9">
        <f t="shared" si="1"/>
        <v>4.2230000000000004E-2</v>
      </c>
      <c r="J11" s="1"/>
      <c r="K11" s="1"/>
      <c r="L11" s="1"/>
      <c r="M11" s="1"/>
      <c r="N11" s="1"/>
      <c r="O11" s="1"/>
      <c r="P11" s="5">
        <v>7</v>
      </c>
      <c r="Q11" s="5">
        <v>7</v>
      </c>
      <c r="R11" s="6">
        <v>15</v>
      </c>
      <c r="S11" s="6">
        <v>1.6990000000000001</v>
      </c>
      <c r="T11" s="6">
        <v>1.89</v>
      </c>
      <c r="U11" s="8">
        <v>0.89</v>
      </c>
      <c r="V11" s="9">
        <f t="shared" si="2"/>
        <v>-2.1780103584124149</v>
      </c>
      <c r="W11" s="9">
        <f t="shared" si="3"/>
        <v>0.11326666666666667</v>
      </c>
      <c r="AD11" s="5">
        <v>7</v>
      </c>
      <c r="AE11" s="5">
        <v>7</v>
      </c>
      <c r="AF11" s="6">
        <v>20</v>
      </c>
      <c r="AG11" s="6">
        <v>5.4930000000000003</v>
      </c>
      <c r="AH11" s="6">
        <v>1.89</v>
      </c>
      <c r="AI11" s="8">
        <v>0.73</v>
      </c>
      <c r="AJ11" s="9">
        <f t="shared" si="4"/>
        <v>-1.2922577191935076</v>
      </c>
      <c r="AK11" s="9">
        <f t="shared" si="5"/>
        <v>0.27465000000000001</v>
      </c>
    </row>
    <row r="12" spans="2:37" ht="13.8">
      <c r="B12" s="5">
        <v>8</v>
      </c>
      <c r="C12" s="5">
        <v>8</v>
      </c>
      <c r="D12" s="5">
        <v>10</v>
      </c>
      <c r="E12" s="6">
        <v>0.48259999999999997</v>
      </c>
      <c r="F12" s="105">
        <v>2.16</v>
      </c>
      <c r="G12" s="8">
        <v>0.95</v>
      </c>
      <c r="H12" s="9">
        <f t="shared" si="0"/>
        <v>-3.0311522187852513</v>
      </c>
      <c r="I12" s="9">
        <f t="shared" si="1"/>
        <v>4.8259999999999997E-2</v>
      </c>
      <c r="J12" s="1"/>
      <c r="K12" s="1"/>
      <c r="L12" s="1"/>
      <c r="M12" s="1"/>
      <c r="N12" s="1"/>
      <c r="O12" s="1"/>
      <c r="P12" s="5">
        <v>8</v>
      </c>
      <c r="Q12" s="5">
        <v>8</v>
      </c>
      <c r="R12" s="6">
        <v>15</v>
      </c>
      <c r="S12" s="6">
        <v>2.7290000000000001</v>
      </c>
      <c r="T12" s="6">
        <v>2.16</v>
      </c>
      <c r="U12" s="8">
        <v>0.82</v>
      </c>
      <c r="V12" s="9">
        <f t="shared" si="2"/>
        <v>-1.7041149593760085</v>
      </c>
      <c r="W12" s="9">
        <f t="shared" si="3"/>
        <v>0.18193333333333334</v>
      </c>
      <c r="AD12" s="5">
        <v>8</v>
      </c>
      <c r="AE12" s="5">
        <v>8</v>
      </c>
      <c r="AF12" s="6">
        <v>20</v>
      </c>
      <c r="AG12" s="6">
        <v>5.5679999999999996</v>
      </c>
      <c r="AH12" s="6">
        <v>2.16</v>
      </c>
      <c r="AI12" s="8">
        <v>0.72</v>
      </c>
      <c r="AJ12" s="9">
        <f t="shared" si="4"/>
        <v>-1.2786963505218725</v>
      </c>
      <c r="AK12" s="9">
        <f t="shared" si="5"/>
        <v>0.27839999999999998</v>
      </c>
    </row>
    <row r="13" spans="2:37" ht="13.8">
      <c r="B13" s="10">
        <v>9</v>
      </c>
      <c r="C13" s="10">
        <v>9</v>
      </c>
      <c r="D13" s="10">
        <v>10</v>
      </c>
      <c r="E13" s="11">
        <v>1.3373999999999999</v>
      </c>
      <c r="F13" s="106">
        <v>2.4300000000000002</v>
      </c>
      <c r="G13" s="13">
        <v>0.87</v>
      </c>
      <c r="H13" s="9">
        <f t="shared" si="0"/>
        <v>-2.0118576623563045</v>
      </c>
      <c r="I13" s="9">
        <f t="shared" si="1"/>
        <v>0.13374</v>
      </c>
      <c r="J13" s="1"/>
      <c r="K13" s="1"/>
      <c r="L13" s="1"/>
      <c r="M13" s="1"/>
      <c r="N13" s="1"/>
      <c r="O13" s="1"/>
      <c r="P13" s="5">
        <v>9</v>
      </c>
      <c r="Q13" s="5">
        <v>9</v>
      </c>
      <c r="R13" s="6">
        <v>15</v>
      </c>
      <c r="S13" s="6">
        <v>4.12</v>
      </c>
      <c r="T13" s="6">
        <v>2.4300000000000002</v>
      </c>
      <c r="U13" s="8">
        <v>0.73</v>
      </c>
      <c r="V13" s="9">
        <f t="shared" si="2"/>
        <v>-1.292197037740775</v>
      </c>
      <c r="W13" s="9">
        <f t="shared" si="3"/>
        <v>0.27466666666666667</v>
      </c>
      <c r="AD13" s="5">
        <v>9</v>
      </c>
      <c r="AE13" s="5">
        <v>9</v>
      </c>
      <c r="AF13" s="6">
        <v>20</v>
      </c>
      <c r="AG13" s="6">
        <v>8.24</v>
      </c>
      <c r="AH13" s="6">
        <v>2.4300000000000002</v>
      </c>
      <c r="AI13" s="8">
        <v>0.59</v>
      </c>
      <c r="AJ13" s="9">
        <f t="shared" si="4"/>
        <v>-0.8867319296326106</v>
      </c>
      <c r="AK13" s="9">
        <f t="shared" si="5"/>
        <v>0.41200000000000003</v>
      </c>
    </row>
    <row r="14" spans="2:37" ht="13.8">
      <c r="B14" s="5">
        <v>10</v>
      </c>
      <c r="C14" s="5">
        <v>10</v>
      </c>
      <c r="D14" s="5">
        <v>10</v>
      </c>
      <c r="E14" s="6">
        <v>2.0053000000000001</v>
      </c>
      <c r="F14" s="105">
        <v>2.7</v>
      </c>
      <c r="G14" s="8">
        <v>0.8</v>
      </c>
      <c r="H14" s="9">
        <f t="shared" si="0"/>
        <v>-1.6067914174931948</v>
      </c>
      <c r="I14" s="9">
        <f t="shared" si="1"/>
        <v>0.20053000000000001</v>
      </c>
      <c r="J14" s="1"/>
      <c r="K14" s="1"/>
      <c r="L14" s="1"/>
      <c r="M14" s="1"/>
      <c r="N14" s="1"/>
      <c r="O14" s="1"/>
      <c r="P14" s="5">
        <v>10</v>
      </c>
      <c r="Q14" s="5">
        <v>10</v>
      </c>
      <c r="R14" s="6">
        <v>15</v>
      </c>
      <c r="S14" s="6">
        <v>4.1760000000000002</v>
      </c>
      <c r="T14" s="6">
        <v>2.7</v>
      </c>
      <c r="U14" s="8">
        <v>0.72</v>
      </c>
      <c r="V14" s="9">
        <f t="shared" si="2"/>
        <v>-1.2786963505218722</v>
      </c>
      <c r="W14" s="9">
        <f t="shared" si="3"/>
        <v>0.27840000000000004</v>
      </c>
      <c r="AD14" s="5">
        <v>10</v>
      </c>
      <c r="AE14" s="5">
        <v>10</v>
      </c>
      <c r="AF14" s="6">
        <v>20</v>
      </c>
      <c r="AG14" s="6">
        <v>11.728</v>
      </c>
      <c r="AH14" s="6">
        <v>2.7</v>
      </c>
      <c r="AI14" s="8">
        <v>0.41</v>
      </c>
      <c r="AJ14" s="9">
        <f t="shared" si="4"/>
        <v>-0.53375312840969524</v>
      </c>
      <c r="AK14" s="9">
        <f t="shared" si="5"/>
        <v>0.58640000000000003</v>
      </c>
    </row>
    <row r="15" spans="2:37" ht="13.8">
      <c r="B15" s="5">
        <v>11</v>
      </c>
      <c r="C15" s="5">
        <v>11</v>
      </c>
      <c r="D15" s="5">
        <v>10</v>
      </c>
      <c r="E15" s="6">
        <v>3.4662999999999999</v>
      </c>
      <c r="F15" s="105">
        <v>2.97</v>
      </c>
      <c r="G15" s="8">
        <v>0.65</v>
      </c>
      <c r="H15" s="9">
        <f t="shared" si="0"/>
        <v>-1.0594973503395573</v>
      </c>
      <c r="I15" s="9">
        <f t="shared" si="1"/>
        <v>0.34662999999999999</v>
      </c>
      <c r="J15" s="1"/>
      <c r="K15" s="1"/>
      <c r="L15" s="1"/>
      <c r="M15" s="1"/>
      <c r="N15" s="1"/>
      <c r="O15" s="1"/>
      <c r="P15" s="5">
        <v>11</v>
      </c>
      <c r="Q15" s="5">
        <v>11</v>
      </c>
      <c r="R15" s="6">
        <v>15</v>
      </c>
      <c r="S15" s="6">
        <v>6.18</v>
      </c>
      <c r="T15" s="6">
        <v>2.97</v>
      </c>
      <c r="U15" s="8">
        <v>0.59</v>
      </c>
      <c r="V15" s="9">
        <f t="shared" si="2"/>
        <v>-0.88673192963261072</v>
      </c>
      <c r="W15" s="9">
        <f t="shared" si="3"/>
        <v>0.41199999999999998</v>
      </c>
      <c r="AD15" s="5">
        <v>11</v>
      </c>
      <c r="AE15" s="5">
        <v>11</v>
      </c>
      <c r="AF15" s="6">
        <v>20</v>
      </c>
      <c r="AG15" s="6">
        <v>14.752000000000001</v>
      </c>
      <c r="AH15" s="6">
        <v>2.97</v>
      </c>
      <c r="AI15" s="8">
        <v>0.26</v>
      </c>
      <c r="AJ15" s="9">
        <f t="shared" si="4"/>
        <v>-0.30435360673975292</v>
      </c>
      <c r="AK15" s="9">
        <f t="shared" si="5"/>
        <v>0.73760000000000003</v>
      </c>
    </row>
    <row r="16" spans="2:37" ht="13.8">
      <c r="B16" s="5">
        <v>12</v>
      </c>
      <c r="C16" s="5">
        <v>12</v>
      </c>
      <c r="D16" s="5">
        <v>10</v>
      </c>
      <c r="E16" s="6">
        <v>3.1463000000000001</v>
      </c>
      <c r="F16" s="105">
        <v>3.24</v>
      </c>
      <c r="G16" s="8">
        <v>0.69</v>
      </c>
      <c r="H16" s="9">
        <f t="shared" si="0"/>
        <v>-1.1563579337180894</v>
      </c>
      <c r="I16" s="9">
        <f t="shared" si="1"/>
        <v>0.31463000000000002</v>
      </c>
      <c r="J16" s="1"/>
      <c r="K16" s="1"/>
      <c r="L16" s="1"/>
      <c r="M16" s="1"/>
      <c r="N16" s="1"/>
      <c r="O16" s="1"/>
      <c r="P16" s="5">
        <v>12</v>
      </c>
      <c r="Q16" s="5">
        <v>12</v>
      </c>
      <c r="R16" s="6">
        <v>15</v>
      </c>
      <c r="S16" s="6">
        <v>7.33</v>
      </c>
      <c r="T16" s="6">
        <v>3.24</v>
      </c>
      <c r="U16" s="8">
        <v>0.51</v>
      </c>
      <c r="V16" s="9">
        <f t="shared" si="2"/>
        <v>-0.71607468520364992</v>
      </c>
      <c r="W16" s="9">
        <f t="shared" si="3"/>
        <v>0.48866666666666669</v>
      </c>
      <c r="AD16" s="5">
        <v>12</v>
      </c>
      <c r="AE16" s="5">
        <v>12</v>
      </c>
      <c r="AF16" s="6">
        <v>20</v>
      </c>
      <c r="AG16" s="6">
        <v>18.216000000000001</v>
      </c>
      <c r="AH16" s="6">
        <v>3.24</v>
      </c>
      <c r="AI16" s="8">
        <v>0.09</v>
      </c>
      <c r="AJ16" s="9">
        <f t="shared" si="4"/>
        <v>-9.3431944792552443E-2</v>
      </c>
      <c r="AK16" s="9">
        <f t="shared" si="5"/>
        <v>0.91080000000000005</v>
      </c>
    </row>
    <row r="17" spans="2:46" ht="13.8">
      <c r="B17" s="5">
        <v>13</v>
      </c>
      <c r="C17" s="5">
        <v>13</v>
      </c>
      <c r="D17" s="5">
        <v>10</v>
      </c>
      <c r="E17" s="6">
        <v>3.2019000000000002</v>
      </c>
      <c r="F17" s="105">
        <v>3.51</v>
      </c>
      <c r="G17" s="8">
        <v>0.68</v>
      </c>
      <c r="H17" s="9">
        <f t="shared" si="0"/>
        <v>-1.1388407093881536</v>
      </c>
      <c r="I17" s="9">
        <f t="shared" si="1"/>
        <v>0.32019000000000003</v>
      </c>
      <c r="J17" s="1"/>
      <c r="K17" s="1"/>
      <c r="L17" s="1"/>
      <c r="M17" s="1"/>
      <c r="N17" s="1"/>
      <c r="O17" s="1"/>
      <c r="P17" s="5">
        <v>13</v>
      </c>
      <c r="Q17" s="5">
        <v>13</v>
      </c>
      <c r="R17" s="6">
        <v>15</v>
      </c>
      <c r="S17" s="6">
        <v>8.7959999999999994</v>
      </c>
      <c r="T17" s="6">
        <v>3.51</v>
      </c>
      <c r="U17" s="8">
        <v>0.41</v>
      </c>
      <c r="V17" s="9">
        <f t="shared" si="2"/>
        <v>-0.53375312840969547</v>
      </c>
      <c r="W17" s="9">
        <f t="shared" si="3"/>
        <v>0.58639999999999992</v>
      </c>
      <c r="AD17" s="5">
        <v>13</v>
      </c>
      <c r="AE17" s="5">
        <v>13</v>
      </c>
      <c r="AF17" s="6">
        <v>20</v>
      </c>
      <c r="AG17" s="6">
        <v>18.957000000000001</v>
      </c>
      <c r="AH17" s="6">
        <v>3.51</v>
      </c>
      <c r="AI17" s="8">
        <v>0.05</v>
      </c>
      <c r="AJ17" s="9">
        <f t="shared" si="4"/>
        <v>-5.3559017094563011E-2</v>
      </c>
      <c r="AK17" s="9">
        <f t="shared" si="5"/>
        <v>0.94785000000000008</v>
      </c>
    </row>
    <row r="18" spans="2:46" ht="13.8">
      <c r="B18" s="5">
        <v>14</v>
      </c>
      <c r="C18" s="5">
        <v>14</v>
      </c>
      <c r="D18" s="5">
        <v>10</v>
      </c>
      <c r="E18" s="6">
        <v>5.1916000000000002</v>
      </c>
      <c r="F18" s="105">
        <v>3.78</v>
      </c>
      <c r="G18" s="8">
        <v>0.48</v>
      </c>
      <c r="H18" s="9">
        <f t="shared" si="0"/>
        <v>-0.65554315816257869</v>
      </c>
      <c r="I18" s="9">
        <f t="shared" si="1"/>
        <v>0.51916000000000007</v>
      </c>
      <c r="J18" s="1"/>
      <c r="K18" s="1"/>
      <c r="L18" s="1"/>
      <c r="M18" s="1"/>
      <c r="N18" s="1"/>
      <c r="O18" s="1"/>
      <c r="P18" s="5">
        <v>14</v>
      </c>
      <c r="Q18" s="5">
        <v>14</v>
      </c>
      <c r="R18" s="6">
        <v>15</v>
      </c>
      <c r="S18" s="6">
        <v>11.064</v>
      </c>
      <c r="T18" s="6">
        <v>3.78</v>
      </c>
      <c r="U18" s="8">
        <v>0.26</v>
      </c>
      <c r="V18" s="9">
        <f t="shared" si="2"/>
        <v>-0.30435360673975292</v>
      </c>
      <c r="W18" s="9">
        <f t="shared" si="3"/>
        <v>0.73760000000000003</v>
      </c>
      <c r="AD18" s="15">
        <v>14</v>
      </c>
      <c r="AE18" s="15">
        <v>14</v>
      </c>
      <c r="AF18" s="16">
        <v>20</v>
      </c>
      <c r="AG18" s="16">
        <v>19.175000000000001</v>
      </c>
      <c r="AH18" s="16">
        <v>3.78</v>
      </c>
      <c r="AI18" s="18">
        <v>0.04</v>
      </c>
      <c r="AJ18" s="9">
        <f t="shared" si="4"/>
        <v>-4.212492630067112E-2</v>
      </c>
      <c r="AK18" s="9">
        <f t="shared" si="5"/>
        <v>0.95874999999999999</v>
      </c>
    </row>
    <row r="19" spans="2:46" ht="13.8">
      <c r="B19" s="5">
        <v>15</v>
      </c>
      <c r="C19" s="5">
        <v>15</v>
      </c>
      <c r="D19" s="5">
        <v>10</v>
      </c>
      <c r="E19" s="6">
        <v>6.1933999999999996</v>
      </c>
      <c r="F19" s="105">
        <v>4.05</v>
      </c>
      <c r="G19" s="8">
        <v>0.38</v>
      </c>
      <c r="H19" s="9">
        <f t="shared" si="0"/>
        <v>-0.47910088407174917</v>
      </c>
      <c r="I19" s="9">
        <f t="shared" si="1"/>
        <v>0.61934</v>
      </c>
      <c r="J19" s="1"/>
      <c r="K19" s="1"/>
      <c r="L19" s="1"/>
      <c r="M19" s="1"/>
      <c r="N19" s="1"/>
      <c r="O19" s="1"/>
      <c r="P19" s="5">
        <v>15</v>
      </c>
      <c r="Q19" s="5">
        <v>15</v>
      </c>
      <c r="R19" s="6">
        <v>15</v>
      </c>
      <c r="S19" s="6">
        <v>13.662000000000001</v>
      </c>
      <c r="T19" s="6">
        <v>4.05</v>
      </c>
      <c r="U19" s="8">
        <v>0.09</v>
      </c>
      <c r="V19" s="9">
        <f t="shared" si="2"/>
        <v>-9.3431944792552443E-2</v>
      </c>
      <c r="W19" s="9">
        <f t="shared" si="3"/>
        <v>0.91080000000000005</v>
      </c>
      <c r="AD19" s="47" t="s">
        <v>12</v>
      </c>
      <c r="AE19" s="46"/>
      <c r="AF19" s="46"/>
      <c r="AG19" s="46"/>
      <c r="AH19" s="46"/>
      <c r="AI19" s="46"/>
      <c r="AJ19" s="32"/>
      <c r="AK19" s="32"/>
    </row>
    <row r="20" spans="2:46" ht="13.8">
      <c r="B20" s="5">
        <v>16</v>
      </c>
      <c r="C20" s="5">
        <v>16</v>
      </c>
      <c r="D20" s="5">
        <v>10</v>
      </c>
      <c r="E20" s="6">
        <v>6.9031000000000002</v>
      </c>
      <c r="F20" s="105">
        <v>4.32</v>
      </c>
      <c r="G20" s="8">
        <v>0.31</v>
      </c>
      <c r="H20" s="9">
        <f t="shared" si="0"/>
        <v>-0.37061450692247044</v>
      </c>
      <c r="I20" s="9">
        <f t="shared" si="1"/>
        <v>0.69030999999999998</v>
      </c>
      <c r="J20" s="1"/>
      <c r="K20" s="1"/>
      <c r="L20" s="1"/>
      <c r="M20" s="1"/>
      <c r="N20" s="1"/>
      <c r="O20" s="1"/>
      <c r="P20" s="5">
        <v>16</v>
      </c>
      <c r="Q20" s="5">
        <v>16</v>
      </c>
      <c r="R20" s="6">
        <v>15</v>
      </c>
      <c r="S20" s="6">
        <v>14.218</v>
      </c>
      <c r="T20" s="6">
        <v>4.32</v>
      </c>
      <c r="U20" s="8">
        <v>0.05</v>
      </c>
      <c r="V20" s="9">
        <f t="shared" si="2"/>
        <v>-5.3541433594918739E-2</v>
      </c>
      <c r="W20" s="9">
        <f t="shared" si="3"/>
        <v>0.94786666666666664</v>
      </c>
      <c r="AD20" s="48" t="s">
        <v>13</v>
      </c>
      <c r="AE20" s="46"/>
      <c r="AF20" s="46"/>
      <c r="AG20" s="46"/>
      <c r="AH20" s="46"/>
      <c r="AI20" s="46"/>
      <c r="AJ20" s="32"/>
      <c r="AK20" s="32"/>
    </row>
    <row r="21" spans="2:46" ht="13.8">
      <c r="B21" s="5">
        <v>17</v>
      </c>
      <c r="C21" s="5">
        <v>17</v>
      </c>
      <c r="D21" s="5">
        <v>10</v>
      </c>
      <c r="E21" s="6">
        <v>8.0997000000000003</v>
      </c>
      <c r="F21" s="105">
        <v>4.59</v>
      </c>
      <c r="G21" s="8">
        <v>0.19</v>
      </c>
      <c r="H21" s="9">
        <f t="shared" si="0"/>
        <v>-0.21075806903857752</v>
      </c>
      <c r="I21" s="9">
        <f t="shared" si="1"/>
        <v>0.80997000000000008</v>
      </c>
      <c r="J21" s="1"/>
      <c r="K21" s="1"/>
      <c r="L21" s="1"/>
      <c r="M21" s="1"/>
      <c r="N21" s="1"/>
      <c r="O21" s="1"/>
      <c r="P21" s="5">
        <v>17</v>
      </c>
      <c r="Q21" s="5">
        <v>17</v>
      </c>
      <c r="R21" s="6">
        <v>15</v>
      </c>
      <c r="S21" s="6">
        <v>14.055999999999999</v>
      </c>
      <c r="T21" s="6">
        <v>4.59</v>
      </c>
      <c r="U21" s="8">
        <v>0.06</v>
      </c>
      <c r="V21" s="9">
        <f t="shared" si="2"/>
        <v>-6.5000850217414072E-2</v>
      </c>
      <c r="W21" s="9">
        <f t="shared" si="3"/>
        <v>0.9370666666666666</v>
      </c>
      <c r="AD21" s="108"/>
      <c r="AE21" s="109"/>
      <c r="AF21" s="109"/>
      <c r="AG21" s="109"/>
      <c r="AH21" s="109"/>
      <c r="AI21" s="109"/>
      <c r="AJ21" s="32"/>
      <c r="AK21" s="32"/>
    </row>
    <row r="22" spans="2:46" ht="13.8">
      <c r="B22" s="5">
        <v>18</v>
      </c>
      <c r="C22" s="5">
        <v>18</v>
      </c>
      <c r="D22" s="5">
        <v>10</v>
      </c>
      <c r="E22" s="6">
        <v>8.5449000000000002</v>
      </c>
      <c r="F22" s="105">
        <v>4.8600000000000003</v>
      </c>
      <c r="G22" s="8">
        <v>0.15</v>
      </c>
      <c r="H22" s="9">
        <f t="shared" si="0"/>
        <v>-0.15725047924511551</v>
      </c>
      <c r="I22" s="9">
        <f t="shared" si="1"/>
        <v>0.85448999999999997</v>
      </c>
      <c r="J22" s="1"/>
      <c r="K22" s="1"/>
      <c r="L22" s="1"/>
      <c r="M22" s="1"/>
      <c r="N22" s="1"/>
      <c r="O22" s="1"/>
      <c r="P22" s="15">
        <v>18</v>
      </c>
      <c r="Q22" s="15">
        <v>18</v>
      </c>
      <c r="R22" s="16">
        <v>15</v>
      </c>
      <c r="S22" s="16">
        <v>14.381</v>
      </c>
      <c r="T22" s="16">
        <v>4.8600000000000003</v>
      </c>
      <c r="U22" s="18">
        <v>0.04</v>
      </c>
      <c r="V22" s="9">
        <f t="shared" si="2"/>
        <v>-4.2142310197967492E-2</v>
      </c>
      <c r="W22" s="9">
        <f t="shared" si="3"/>
        <v>0.95873333333333333</v>
      </c>
      <c r="AJ22" s="32"/>
      <c r="AK22" s="32"/>
    </row>
    <row r="23" spans="2:46" ht="13.8">
      <c r="B23" s="5">
        <v>19</v>
      </c>
      <c r="C23" s="5">
        <v>19</v>
      </c>
      <c r="D23" s="5">
        <v>10</v>
      </c>
      <c r="E23" s="6">
        <v>9.5189000000000004</v>
      </c>
      <c r="F23" s="105">
        <v>5.13</v>
      </c>
      <c r="G23" s="8">
        <v>0.05</v>
      </c>
      <c r="H23" s="9">
        <f t="shared" si="0"/>
        <v>-4.9305797085237683E-2</v>
      </c>
      <c r="I23" s="9">
        <f t="shared" si="1"/>
        <v>0.95189000000000001</v>
      </c>
      <c r="J23" s="1"/>
      <c r="K23" s="1"/>
      <c r="L23" s="1"/>
      <c r="M23" s="1"/>
      <c r="N23" s="1"/>
      <c r="O23" s="1"/>
      <c r="P23" s="47" t="s">
        <v>12</v>
      </c>
      <c r="Q23" s="46"/>
      <c r="R23" s="46"/>
      <c r="S23" s="46"/>
      <c r="T23" s="46"/>
      <c r="U23" s="46"/>
      <c r="V23" s="32"/>
      <c r="W23" s="32"/>
    </row>
    <row r="24" spans="2:46" ht="13.8">
      <c r="B24" s="5">
        <v>20</v>
      </c>
      <c r="C24" s="5">
        <v>20</v>
      </c>
      <c r="D24" s="5">
        <v>10</v>
      </c>
      <c r="E24" s="6">
        <v>9.6023999999999994</v>
      </c>
      <c r="F24" s="105">
        <v>5.4</v>
      </c>
      <c r="G24" s="8">
        <v>0.04</v>
      </c>
      <c r="H24" s="9">
        <f t="shared" si="0"/>
        <v>-4.0572025765047794E-2</v>
      </c>
      <c r="I24" s="9">
        <f t="shared" si="1"/>
        <v>0.96023999999999998</v>
      </c>
      <c r="J24" s="1"/>
      <c r="K24" s="1"/>
      <c r="L24" s="1"/>
      <c r="M24" s="1"/>
      <c r="N24" s="1"/>
      <c r="O24" s="1"/>
      <c r="P24" s="48" t="s">
        <v>13</v>
      </c>
      <c r="Q24" s="46"/>
      <c r="R24" s="46"/>
      <c r="S24" s="46"/>
      <c r="T24" s="46"/>
      <c r="U24" s="46"/>
      <c r="V24" s="32"/>
      <c r="W24" s="32"/>
    </row>
    <row r="25" spans="2:46" ht="13.8">
      <c r="B25" s="5">
        <v>21</v>
      </c>
      <c r="C25" s="5">
        <v>21</v>
      </c>
      <c r="D25" s="5">
        <v>10</v>
      </c>
      <c r="E25" s="6">
        <v>9.2545000000000002</v>
      </c>
      <c r="F25" s="105">
        <v>5.67</v>
      </c>
      <c r="G25" s="8">
        <v>7.0000000000000007E-2</v>
      </c>
      <c r="H25" s="9">
        <f t="shared" si="0"/>
        <v>-7.7475173279411363E-2</v>
      </c>
      <c r="I25" s="9">
        <f t="shared" si="1"/>
        <v>0.92544999999999999</v>
      </c>
      <c r="J25" s="1"/>
      <c r="K25" s="1"/>
      <c r="L25" s="1"/>
      <c r="M25" s="1"/>
      <c r="N25" s="1"/>
      <c r="O25" s="1"/>
      <c r="P25" s="48" t="s">
        <v>13</v>
      </c>
      <c r="Q25" s="46"/>
      <c r="R25" s="46"/>
      <c r="S25" s="46"/>
      <c r="T25" s="46"/>
      <c r="U25" s="46"/>
      <c r="V25" s="32"/>
      <c r="W25" s="32"/>
    </row>
    <row r="26" spans="2:46" ht="13.8">
      <c r="B26" s="15">
        <v>22</v>
      </c>
      <c r="C26" s="15">
        <v>22</v>
      </c>
      <c r="D26" s="15">
        <v>10</v>
      </c>
      <c r="E26" s="16">
        <v>9.4910999999999994</v>
      </c>
      <c r="F26" s="107">
        <v>5.94</v>
      </c>
      <c r="G26" s="18">
        <v>0.05</v>
      </c>
      <c r="H26" s="9">
        <f t="shared" si="0"/>
        <v>-5.2230575603651998E-2</v>
      </c>
      <c r="I26" s="9">
        <f t="shared" si="1"/>
        <v>0.9491099999999999</v>
      </c>
      <c r="J26" s="1"/>
      <c r="K26" s="1"/>
      <c r="L26" s="1"/>
      <c r="M26" s="1"/>
      <c r="N26" s="1"/>
      <c r="O26" s="1"/>
      <c r="P26" s="1"/>
      <c r="V26" s="33"/>
      <c r="W26" s="33"/>
    </row>
    <row r="27" spans="2:46" ht="13.8">
      <c r="B27" s="47" t="s">
        <v>12</v>
      </c>
      <c r="C27" s="46"/>
      <c r="D27" s="46"/>
      <c r="E27" s="46"/>
      <c r="F27" s="46"/>
      <c r="G27" s="46"/>
      <c r="H27" s="1"/>
      <c r="I27" s="1"/>
      <c r="J27" s="1"/>
      <c r="K27" s="1"/>
      <c r="L27" s="1"/>
      <c r="M27" s="1"/>
      <c r="N27" s="1"/>
      <c r="O27" s="1"/>
      <c r="P27" s="1"/>
    </row>
    <row r="28" spans="2:46" ht="13.8">
      <c r="B28" s="48" t="s">
        <v>13</v>
      </c>
      <c r="C28" s="46"/>
      <c r="D28" s="46"/>
      <c r="E28" s="46"/>
      <c r="F28" s="46"/>
      <c r="G28" s="46"/>
      <c r="H28" s="1"/>
      <c r="I28" s="1"/>
      <c r="J28" s="1"/>
      <c r="K28" s="1"/>
      <c r="L28" s="1"/>
      <c r="M28" s="1"/>
      <c r="N28" s="1"/>
      <c r="O28" s="1"/>
      <c r="P28" s="1"/>
    </row>
    <row r="31" spans="2:46" ht="13.8">
      <c r="B31" s="45"/>
      <c r="C31" s="46"/>
      <c r="D31" s="46"/>
      <c r="E31" s="46"/>
      <c r="F31" s="46"/>
      <c r="G31" s="46"/>
      <c r="H31" s="46"/>
      <c r="I31" s="46"/>
      <c r="J31" s="46"/>
      <c r="K31" s="22"/>
      <c r="L31" s="1"/>
      <c r="M31" s="1"/>
      <c r="N31" s="1"/>
      <c r="P31" s="45"/>
      <c r="Q31" s="46"/>
      <c r="R31" s="46"/>
      <c r="S31" s="46"/>
      <c r="T31" s="46"/>
      <c r="U31" s="46"/>
      <c r="V31" s="46"/>
      <c r="W31" s="46"/>
      <c r="X31" s="46"/>
      <c r="Y31" s="22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2:46" ht="32.4" customHeight="1">
      <c r="B32" s="52" t="s">
        <v>1</v>
      </c>
      <c r="C32" s="52" t="s">
        <v>14</v>
      </c>
      <c r="D32" s="52" t="s">
        <v>15</v>
      </c>
      <c r="E32" s="52" t="s">
        <v>15</v>
      </c>
      <c r="F32" s="52" t="s">
        <v>15</v>
      </c>
      <c r="G32" s="3" t="s">
        <v>21</v>
      </c>
      <c r="H32" s="52" t="s">
        <v>22</v>
      </c>
      <c r="I32" s="3" t="s">
        <v>23</v>
      </c>
      <c r="J32" s="3" t="s">
        <v>16</v>
      </c>
      <c r="K32" s="20" t="s">
        <v>24</v>
      </c>
      <c r="L32" s="3" t="s">
        <v>25</v>
      </c>
      <c r="M32" s="3" t="s">
        <v>0</v>
      </c>
      <c r="N32" s="3" t="s">
        <v>18</v>
      </c>
      <c r="P32" s="53" t="s">
        <v>1</v>
      </c>
      <c r="Q32" s="53" t="s">
        <v>14</v>
      </c>
      <c r="R32" s="53" t="s">
        <v>15</v>
      </c>
      <c r="S32" s="53" t="s">
        <v>15</v>
      </c>
      <c r="T32" s="53" t="s">
        <v>15</v>
      </c>
      <c r="U32" s="24" t="s">
        <v>21</v>
      </c>
      <c r="V32" s="53" t="s">
        <v>22</v>
      </c>
      <c r="W32" s="24" t="s">
        <v>23</v>
      </c>
      <c r="X32" s="24" t="s">
        <v>16</v>
      </c>
      <c r="Y32" s="26" t="s">
        <v>24</v>
      </c>
      <c r="Z32" s="24" t="s">
        <v>25</v>
      </c>
      <c r="AA32" s="24" t="s">
        <v>0</v>
      </c>
      <c r="AB32" s="24" t="s">
        <v>18</v>
      </c>
      <c r="AC32" s="2"/>
      <c r="AD32" s="54" t="s">
        <v>1</v>
      </c>
      <c r="AE32" s="54" t="s">
        <v>14</v>
      </c>
      <c r="AF32" s="54" t="s">
        <v>15</v>
      </c>
      <c r="AG32" s="54" t="s">
        <v>15</v>
      </c>
      <c r="AH32" s="54" t="s">
        <v>15</v>
      </c>
      <c r="AI32" s="28" t="s">
        <v>21</v>
      </c>
      <c r="AJ32" s="54" t="s">
        <v>22</v>
      </c>
      <c r="AK32" s="28" t="s">
        <v>23</v>
      </c>
      <c r="AL32" s="28" t="s">
        <v>16</v>
      </c>
      <c r="AM32" s="30" t="s">
        <v>24</v>
      </c>
      <c r="AN32" s="28" t="s">
        <v>25</v>
      </c>
      <c r="AO32" s="28" t="s">
        <v>0</v>
      </c>
      <c r="AP32" s="28" t="s">
        <v>18</v>
      </c>
      <c r="AQ32" s="2"/>
      <c r="AR32" s="2"/>
      <c r="AS32" s="2"/>
      <c r="AT32" s="2"/>
    </row>
    <row r="33" spans="2:46" ht="13.8">
      <c r="B33" s="4" t="s">
        <v>9</v>
      </c>
      <c r="C33" s="4" t="s">
        <v>19</v>
      </c>
      <c r="D33" s="4" t="s">
        <v>26</v>
      </c>
      <c r="E33" s="4" t="s">
        <v>27</v>
      </c>
      <c r="F33" s="4" t="s">
        <v>20</v>
      </c>
      <c r="G33" s="4" t="s">
        <v>28</v>
      </c>
      <c r="H33" s="4" t="s">
        <v>29</v>
      </c>
      <c r="I33" s="4" t="s">
        <v>30</v>
      </c>
      <c r="J33" s="4"/>
      <c r="K33" s="21"/>
      <c r="L33" s="4" t="s">
        <v>31</v>
      </c>
      <c r="M33" s="4" t="s">
        <v>30</v>
      </c>
      <c r="N33" s="4"/>
      <c r="P33" s="25" t="s">
        <v>9</v>
      </c>
      <c r="Q33" s="25" t="s">
        <v>19</v>
      </c>
      <c r="R33" s="25" t="s">
        <v>26</v>
      </c>
      <c r="S33" s="25" t="s">
        <v>27</v>
      </c>
      <c r="T33" s="25" t="s">
        <v>20</v>
      </c>
      <c r="U33" s="25" t="s">
        <v>28</v>
      </c>
      <c r="V33" s="25" t="s">
        <v>29</v>
      </c>
      <c r="W33" s="25" t="s">
        <v>30</v>
      </c>
      <c r="X33" s="25"/>
      <c r="Y33" s="27"/>
      <c r="Z33" s="25" t="s">
        <v>31</v>
      </c>
      <c r="AA33" s="25" t="s">
        <v>30</v>
      </c>
      <c r="AB33" s="25"/>
      <c r="AC33" s="1"/>
      <c r="AD33" s="29" t="s">
        <v>9</v>
      </c>
      <c r="AE33" s="29" t="s">
        <v>19</v>
      </c>
      <c r="AF33" s="29" t="s">
        <v>26</v>
      </c>
      <c r="AG33" s="29" t="s">
        <v>27</v>
      </c>
      <c r="AH33" s="29" t="s">
        <v>20</v>
      </c>
      <c r="AI33" s="29" t="s">
        <v>28</v>
      </c>
      <c r="AJ33" s="29" t="s">
        <v>29</v>
      </c>
      <c r="AK33" s="29" t="s">
        <v>30</v>
      </c>
      <c r="AL33" s="29"/>
      <c r="AM33" s="31"/>
      <c r="AN33" s="29" t="s">
        <v>31</v>
      </c>
      <c r="AO33" s="29" t="s">
        <v>30</v>
      </c>
      <c r="AP33" s="29"/>
      <c r="AQ33" s="1"/>
      <c r="AR33" s="1"/>
      <c r="AS33" s="1"/>
      <c r="AT33" s="1"/>
    </row>
    <row r="34" spans="2:46" ht="13.8">
      <c r="B34" s="5">
        <v>1</v>
      </c>
      <c r="C34" s="5">
        <v>20</v>
      </c>
      <c r="D34" s="5">
        <v>4.5</v>
      </c>
      <c r="E34" s="5">
        <f t="shared" ref="E34:E55" si="6">D34*60</f>
        <v>270</v>
      </c>
      <c r="F34" s="5">
        <f t="shared" ref="F34:F55" si="7">E34/1000</f>
        <v>0.27</v>
      </c>
      <c r="G34" s="5">
        <f t="shared" ref="G34:G55" si="8">(1/4)*3.14*3^2</f>
        <v>7.0650000000000004</v>
      </c>
      <c r="H34" s="23">
        <f t="shared" ref="H34:H55" si="9">E34/G34</f>
        <v>38.216560509554135</v>
      </c>
      <c r="I34" s="5">
        <f t="shared" ref="I34:I55" si="10">D5</f>
        <v>10</v>
      </c>
      <c r="J34" s="5">
        <v>0.22539999999999999</v>
      </c>
      <c r="K34" s="34">
        <v>-4.2804000000000002</v>
      </c>
      <c r="L34" s="9">
        <f t="shared" ref="L34:L55" si="11">J34/(I34*B34)</f>
        <v>2.2539999999999998E-2</v>
      </c>
      <c r="M34" s="23">
        <f t="shared" ref="M34:M55" si="12">ABS((K34*H34)/(L34*C34))</f>
        <v>362.87081988707973</v>
      </c>
      <c r="N34" s="5">
        <v>0.92979999999999996</v>
      </c>
      <c r="P34" s="5">
        <v>1</v>
      </c>
      <c r="Q34" s="5">
        <v>20</v>
      </c>
      <c r="R34" s="5">
        <v>4.5</v>
      </c>
      <c r="S34" s="5">
        <f t="shared" ref="S34:S51" si="13">R34*60</f>
        <v>270</v>
      </c>
      <c r="T34" s="5">
        <f t="shared" ref="T34:T51" si="14">S34/1000</f>
        <v>0.27</v>
      </c>
      <c r="U34" s="5">
        <f t="shared" ref="U34:U51" si="15">(1/4)*3.14*3^2</f>
        <v>7.0650000000000004</v>
      </c>
      <c r="V34" s="23">
        <f t="shared" ref="V34:V51" si="16">S34/U34</f>
        <v>38.216560509554135</v>
      </c>
      <c r="W34" s="5">
        <f t="shared" ref="W34:W51" si="17">R5</f>
        <v>15</v>
      </c>
      <c r="X34" s="5">
        <v>0.25459999999999999</v>
      </c>
      <c r="Y34" s="34">
        <v>-4.0366999999999997</v>
      </c>
      <c r="Z34" s="9">
        <f t="shared" ref="Z34:Z51" si="18">X34/(W34*P34)</f>
        <v>1.6973333333333333E-2</v>
      </c>
      <c r="AA34" s="23">
        <f t="shared" ref="AA34:AA51" si="19">ABS((Y34*V34)/(Z34*Q34))</f>
        <v>454.44458898934749</v>
      </c>
      <c r="AB34" s="5">
        <v>0.95599999999999996</v>
      </c>
      <c r="AC34" s="1"/>
      <c r="AD34" s="5">
        <v>1</v>
      </c>
      <c r="AE34" s="5">
        <v>20</v>
      </c>
      <c r="AF34" s="5">
        <v>4.5</v>
      </c>
      <c r="AG34" s="5">
        <f t="shared" ref="AG34:AG47" si="20">AF34*60</f>
        <v>270</v>
      </c>
      <c r="AH34" s="5">
        <f t="shared" ref="AH34:AH47" si="21">AG34/1000</f>
        <v>0.27</v>
      </c>
      <c r="AI34" s="5">
        <f t="shared" ref="AI34:AI47" si="22">(1/4)*3.14*3^2</f>
        <v>7.0650000000000004</v>
      </c>
      <c r="AJ34" s="23">
        <f t="shared" ref="AJ34:AJ47" si="23">AG34/AI34</f>
        <v>38.216560509554135</v>
      </c>
      <c r="AK34" s="5">
        <f t="shared" ref="AK34:AK47" si="24">AF5</f>
        <v>20</v>
      </c>
      <c r="AL34" s="5">
        <v>0.3165</v>
      </c>
      <c r="AM34" s="59">
        <v>-3.9243999999999999</v>
      </c>
      <c r="AN34" s="56">
        <f t="shared" ref="AN34:AN47" si="25">AL34/(AK34*AD34)</f>
        <v>1.5824999999999999E-2</v>
      </c>
      <c r="AO34" s="57">
        <f t="shared" ref="AO34:AO47" si="26">ABS((AM34*AJ34)/(AN34*AE34))</f>
        <v>473.86120083315717</v>
      </c>
      <c r="AP34" s="58">
        <v>0.95660000000000001</v>
      </c>
      <c r="AQ34" s="1"/>
      <c r="AR34" s="1"/>
      <c r="AS34" s="1"/>
      <c r="AT34" s="1"/>
    </row>
    <row r="35" spans="2:46" ht="13.8">
      <c r="B35" s="5">
        <v>2</v>
      </c>
      <c r="C35" s="5">
        <v>20</v>
      </c>
      <c r="D35" s="5">
        <v>4.5</v>
      </c>
      <c r="E35" s="5">
        <f t="shared" si="6"/>
        <v>270</v>
      </c>
      <c r="F35" s="5">
        <f t="shared" si="7"/>
        <v>0.27</v>
      </c>
      <c r="G35" s="5">
        <f t="shared" si="8"/>
        <v>7.0650000000000004</v>
      </c>
      <c r="H35" s="23">
        <f t="shared" si="9"/>
        <v>38.216560509554135</v>
      </c>
      <c r="I35" s="5">
        <f t="shared" si="10"/>
        <v>10</v>
      </c>
      <c r="J35" s="5">
        <v>0.22539999999999999</v>
      </c>
      <c r="K35" s="34">
        <v>-4.2804000000000002</v>
      </c>
      <c r="L35" s="9">
        <f t="shared" si="11"/>
        <v>1.1269999999999999E-2</v>
      </c>
      <c r="M35" s="23">
        <f t="shared" si="12"/>
        <v>725.74163977415947</v>
      </c>
      <c r="N35" s="5">
        <v>0.92979999999999996</v>
      </c>
      <c r="P35" s="5">
        <v>2</v>
      </c>
      <c r="Q35" s="5">
        <v>20</v>
      </c>
      <c r="R35" s="5">
        <v>4.5</v>
      </c>
      <c r="S35" s="5">
        <f t="shared" si="13"/>
        <v>270</v>
      </c>
      <c r="T35" s="5">
        <f t="shared" si="14"/>
        <v>0.27</v>
      </c>
      <c r="U35" s="5">
        <f t="shared" si="15"/>
        <v>7.0650000000000004</v>
      </c>
      <c r="V35" s="23">
        <f t="shared" si="16"/>
        <v>38.216560509554135</v>
      </c>
      <c r="W35" s="5">
        <f t="shared" si="17"/>
        <v>15</v>
      </c>
      <c r="X35" s="5">
        <v>0.25459999999999999</v>
      </c>
      <c r="Y35" s="34">
        <v>-4.0366999999999997</v>
      </c>
      <c r="Z35" s="9">
        <f t="shared" si="18"/>
        <v>8.4866666666666667E-3</v>
      </c>
      <c r="AA35" s="23">
        <f t="shared" si="19"/>
        <v>908.88917797869499</v>
      </c>
      <c r="AB35" s="5">
        <v>0.95599999999999996</v>
      </c>
      <c r="AC35" s="1"/>
      <c r="AD35" s="5">
        <v>2</v>
      </c>
      <c r="AE35" s="5">
        <v>20</v>
      </c>
      <c r="AF35" s="5">
        <v>4.5</v>
      </c>
      <c r="AG35" s="5">
        <f t="shared" si="20"/>
        <v>270</v>
      </c>
      <c r="AH35" s="5">
        <f t="shared" si="21"/>
        <v>0.27</v>
      </c>
      <c r="AI35" s="5">
        <f t="shared" si="22"/>
        <v>7.0650000000000004</v>
      </c>
      <c r="AJ35" s="23">
        <f t="shared" si="23"/>
        <v>38.216560509554135</v>
      </c>
      <c r="AK35" s="5">
        <f t="shared" si="24"/>
        <v>20</v>
      </c>
      <c r="AL35" s="5">
        <v>0.3165</v>
      </c>
      <c r="AM35" s="59">
        <v>-3.9243999999999999</v>
      </c>
      <c r="AN35" s="56">
        <f t="shared" si="25"/>
        <v>7.9124999999999994E-3</v>
      </c>
      <c r="AO35" s="57">
        <f t="shared" si="26"/>
        <v>947.72240166631434</v>
      </c>
      <c r="AP35" s="58">
        <v>0.95660000000000001</v>
      </c>
      <c r="AQ35" s="1"/>
      <c r="AR35" s="1"/>
      <c r="AS35" s="1"/>
      <c r="AT35" s="1"/>
    </row>
    <row r="36" spans="2:46" ht="13.8">
      <c r="B36" s="5">
        <v>3</v>
      </c>
      <c r="C36" s="5">
        <v>20</v>
      </c>
      <c r="D36" s="5">
        <v>4.5</v>
      </c>
      <c r="E36" s="5">
        <f t="shared" si="6"/>
        <v>270</v>
      </c>
      <c r="F36" s="5">
        <f t="shared" si="7"/>
        <v>0.27</v>
      </c>
      <c r="G36" s="5">
        <f t="shared" si="8"/>
        <v>7.0650000000000004</v>
      </c>
      <c r="H36" s="23">
        <f t="shared" si="9"/>
        <v>38.216560509554135</v>
      </c>
      <c r="I36" s="5">
        <f t="shared" si="10"/>
        <v>10</v>
      </c>
      <c r="J36" s="5">
        <v>0.22539999999999999</v>
      </c>
      <c r="K36" s="34">
        <v>-4.2804000000000002</v>
      </c>
      <c r="L36" s="9">
        <f t="shared" si="11"/>
        <v>7.5133333333333328E-3</v>
      </c>
      <c r="M36" s="23">
        <f t="shared" si="12"/>
        <v>1088.6124596612392</v>
      </c>
      <c r="N36" s="5">
        <v>0.92979999999999996</v>
      </c>
      <c r="P36" s="5">
        <v>3</v>
      </c>
      <c r="Q36" s="5">
        <v>20</v>
      </c>
      <c r="R36" s="5">
        <v>4.5</v>
      </c>
      <c r="S36" s="5">
        <f t="shared" si="13"/>
        <v>270</v>
      </c>
      <c r="T36" s="5">
        <f t="shared" si="14"/>
        <v>0.27</v>
      </c>
      <c r="U36" s="5">
        <f t="shared" si="15"/>
        <v>7.0650000000000004</v>
      </c>
      <c r="V36" s="23">
        <f t="shared" si="16"/>
        <v>38.216560509554135</v>
      </c>
      <c r="W36" s="5">
        <f t="shared" si="17"/>
        <v>15</v>
      </c>
      <c r="X36" s="5">
        <v>0.25459999999999999</v>
      </c>
      <c r="Y36" s="34">
        <v>-4.0366999999999997</v>
      </c>
      <c r="Z36" s="9">
        <f t="shared" si="18"/>
        <v>5.6577777777777772E-3</v>
      </c>
      <c r="AA36" s="23">
        <f t="shared" si="19"/>
        <v>1363.3337669680429</v>
      </c>
      <c r="AB36" s="5">
        <v>0.95599999999999996</v>
      </c>
      <c r="AC36" s="1"/>
      <c r="AD36" s="5">
        <v>3</v>
      </c>
      <c r="AE36" s="5">
        <v>20</v>
      </c>
      <c r="AF36" s="5">
        <v>4.5</v>
      </c>
      <c r="AG36" s="5">
        <f t="shared" si="20"/>
        <v>270</v>
      </c>
      <c r="AH36" s="5">
        <f t="shared" si="21"/>
        <v>0.27</v>
      </c>
      <c r="AI36" s="5">
        <f t="shared" si="22"/>
        <v>7.0650000000000004</v>
      </c>
      <c r="AJ36" s="23">
        <f t="shared" si="23"/>
        <v>38.216560509554135</v>
      </c>
      <c r="AK36" s="5">
        <f t="shared" si="24"/>
        <v>20</v>
      </c>
      <c r="AL36" s="5">
        <v>0.3165</v>
      </c>
      <c r="AM36" s="59">
        <v>-3.9243999999999999</v>
      </c>
      <c r="AN36" s="56">
        <f t="shared" si="25"/>
        <v>5.2750000000000002E-3</v>
      </c>
      <c r="AO36" s="57">
        <f t="shared" si="26"/>
        <v>1421.5836024994715</v>
      </c>
      <c r="AP36" s="58">
        <v>0.95660000000000001</v>
      </c>
      <c r="AQ36" s="1"/>
      <c r="AR36" s="1"/>
      <c r="AS36" s="1"/>
      <c r="AT36" s="1"/>
    </row>
    <row r="37" spans="2:46" ht="13.8">
      <c r="B37" s="5">
        <v>4</v>
      </c>
      <c r="C37" s="5">
        <v>20</v>
      </c>
      <c r="D37" s="5">
        <v>4.5</v>
      </c>
      <c r="E37" s="5">
        <f t="shared" si="6"/>
        <v>270</v>
      </c>
      <c r="F37" s="5">
        <f t="shared" si="7"/>
        <v>0.27</v>
      </c>
      <c r="G37" s="5">
        <f t="shared" si="8"/>
        <v>7.0650000000000004</v>
      </c>
      <c r="H37" s="23">
        <f t="shared" si="9"/>
        <v>38.216560509554135</v>
      </c>
      <c r="I37" s="5">
        <f t="shared" si="10"/>
        <v>10</v>
      </c>
      <c r="J37" s="5">
        <v>0.22539999999999999</v>
      </c>
      <c r="K37" s="34">
        <v>-4.2804000000000002</v>
      </c>
      <c r="L37" s="9">
        <f t="shared" si="11"/>
        <v>5.6349999999999994E-3</v>
      </c>
      <c r="M37" s="23">
        <f t="shared" si="12"/>
        <v>1451.4832795483189</v>
      </c>
      <c r="N37" s="5">
        <v>0.92979999999999996</v>
      </c>
      <c r="P37" s="5">
        <v>4</v>
      </c>
      <c r="Q37" s="5">
        <v>20</v>
      </c>
      <c r="R37" s="5">
        <v>4.5</v>
      </c>
      <c r="S37" s="5">
        <f t="shared" si="13"/>
        <v>270</v>
      </c>
      <c r="T37" s="5">
        <f t="shared" si="14"/>
        <v>0.27</v>
      </c>
      <c r="U37" s="5">
        <f t="shared" si="15"/>
        <v>7.0650000000000004</v>
      </c>
      <c r="V37" s="23">
        <f t="shared" si="16"/>
        <v>38.216560509554135</v>
      </c>
      <c r="W37" s="5">
        <f t="shared" si="17"/>
        <v>15</v>
      </c>
      <c r="X37" s="5">
        <v>0.25459999999999999</v>
      </c>
      <c r="Y37" s="34">
        <v>-4.0366999999999997</v>
      </c>
      <c r="Z37" s="9">
        <f t="shared" si="18"/>
        <v>4.2433333333333333E-3</v>
      </c>
      <c r="AA37" s="23">
        <f t="shared" si="19"/>
        <v>1817.77835595739</v>
      </c>
      <c r="AB37" s="5">
        <v>0.95599999999999996</v>
      </c>
      <c r="AC37" s="1"/>
      <c r="AD37" s="5">
        <v>4</v>
      </c>
      <c r="AE37" s="5">
        <v>20</v>
      </c>
      <c r="AF37" s="5">
        <v>4.5</v>
      </c>
      <c r="AG37" s="5">
        <f t="shared" si="20"/>
        <v>270</v>
      </c>
      <c r="AH37" s="5">
        <f t="shared" si="21"/>
        <v>0.27</v>
      </c>
      <c r="AI37" s="5">
        <f t="shared" si="22"/>
        <v>7.0650000000000004</v>
      </c>
      <c r="AJ37" s="23">
        <f t="shared" si="23"/>
        <v>38.216560509554135</v>
      </c>
      <c r="AK37" s="5">
        <f t="shared" si="24"/>
        <v>20</v>
      </c>
      <c r="AL37" s="5">
        <v>0.3165</v>
      </c>
      <c r="AM37" s="59">
        <v>-3.9243999999999999</v>
      </c>
      <c r="AN37" s="56">
        <f t="shared" si="25"/>
        <v>3.9562499999999997E-3</v>
      </c>
      <c r="AO37" s="57">
        <f t="shared" si="26"/>
        <v>1895.4448033326287</v>
      </c>
      <c r="AP37" s="58">
        <v>0.95660000000000001</v>
      </c>
      <c r="AQ37" s="1"/>
      <c r="AR37" s="1"/>
      <c r="AS37" s="1"/>
      <c r="AT37" s="1"/>
    </row>
    <row r="38" spans="2:46" ht="13.8">
      <c r="B38" s="5">
        <v>5</v>
      </c>
      <c r="C38" s="5">
        <v>20</v>
      </c>
      <c r="D38" s="5">
        <v>4.5</v>
      </c>
      <c r="E38" s="5">
        <f t="shared" si="6"/>
        <v>270</v>
      </c>
      <c r="F38" s="5">
        <f t="shared" si="7"/>
        <v>0.27</v>
      </c>
      <c r="G38" s="5">
        <f t="shared" si="8"/>
        <v>7.0650000000000004</v>
      </c>
      <c r="H38" s="23">
        <f t="shared" si="9"/>
        <v>38.216560509554135</v>
      </c>
      <c r="I38" s="5">
        <f t="shared" si="10"/>
        <v>10</v>
      </c>
      <c r="J38" s="5">
        <v>0.22539999999999999</v>
      </c>
      <c r="K38" s="34">
        <v>-4.2804000000000002</v>
      </c>
      <c r="L38" s="9">
        <f t="shared" si="11"/>
        <v>4.5079999999999999E-3</v>
      </c>
      <c r="M38" s="23">
        <f t="shared" si="12"/>
        <v>1814.3540994353987</v>
      </c>
      <c r="N38" s="5">
        <v>0.92979999999999996</v>
      </c>
      <c r="P38" s="5">
        <v>5</v>
      </c>
      <c r="Q38" s="5">
        <v>20</v>
      </c>
      <c r="R38" s="5">
        <v>4.5</v>
      </c>
      <c r="S38" s="5">
        <f t="shared" si="13"/>
        <v>270</v>
      </c>
      <c r="T38" s="5">
        <f t="shared" si="14"/>
        <v>0.27</v>
      </c>
      <c r="U38" s="5">
        <f t="shared" si="15"/>
        <v>7.0650000000000004</v>
      </c>
      <c r="V38" s="23">
        <f t="shared" si="16"/>
        <v>38.216560509554135</v>
      </c>
      <c r="W38" s="5">
        <f t="shared" si="17"/>
        <v>15</v>
      </c>
      <c r="X38" s="5">
        <v>0.25459999999999999</v>
      </c>
      <c r="Y38" s="34">
        <v>-4.0366999999999997</v>
      </c>
      <c r="Z38" s="9">
        <f t="shared" si="18"/>
        <v>3.3946666666666665E-3</v>
      </c>
      <c r="AA38" s="23">
        <f t="shared" si="19"/>
        <v>2272.2229449467377</v>
      </c>
      <c r="AB38" s="5">
        <v>0.95599999999999996</v>
      </c>
      <c r="AC38" s="1"/>
      <c r="AD38" s="5">
        <v>5</v>
      </c>
      <c r="AE38" s="5">
        <v>20</v>
      </c>
      <c r="AF38" s="5">
        <v>4.5</v>
      </c>
      <c r="AG38" s="5">
        <f t="shared" si="20"/>
        <v>270</v>
      </c>
      <c r="AH38" s="5">
        <f t="shared" si="21"/>
        <v>0.27</v>
      </c>
      <c r="AI38" s="5">
        <f t="shared" si="22"/>
        <v>7.0650000000000004</v>
      </c>
      <c r="AJ38" s="23">
        <f t="shared" si="23"/>
        <v>38.216560509554135</v>
      </c>
      <c r="AK38" s="5">
        <f t="shared" si="24"/>
        <v>20</v>
      </c>
      <c r="AL38" s="5">
        <v>0.3165</v>
      </c>
      <c r="AM38" s="59">
        <v>-3.9243999999999999</v>
      </c>
      <c r="AN38" s="56">
        <f t="shared" si="25"/>
        <v>3.1649999999999998E-3</v>
      </c>
      <c r="AO38" s="57">
        <f t="shared" si="26"/>
        <v>2369.3060041657859</v>
      </c>
      <c r="AP38" s="58">
        <v>0.95660000000000001</v>
      </c>
      <c r="AQ38" s="1"/>
      <c r="AR38" s="1"/>
      <c r="AS38" s="1"/>
      <c r="AT38" s="1"/>
    </row>
    <row r="39" spans="2:46" ht="13.8">
      <c r="B39" s="5">
        <v>6</v>
      </c>
      <c r="C39" s="5">
        <v>20</v>
      </c>
      <c r="D39" s="5">
        <v>4.5</v>
      </c>
      <c r="E39" s="5">
        <f t="shared" si="6"/>
        <v>270</v>
      </c>
      <c r="F39" s="5">
        <f t="shared" si="7"/>
        <v>0.27</v>
      </c>
      <c r="G39" s="5">
        <f t="shared" si="8"/>
        <v>7.0650000000000004</v>
      </c>
      <c r="H39" s="23">
        <f t="shared" si="9"/>
        <v>38.216560509554135</v>
      </c>
      <c r="I39" s="5">
        <f t="shared" si="10"/>
        <v>10</v>
      </c>
      <c r="J39" s="5">
        <v>0.22539999999999999</v>
      </c>
      <c r="K39" s="34">
        <v>-4.2804000000000002</v>
      </c>
      <c r="L39" s="9">
        <f t="shared" si="11"/>
        <v>3.7566666666666664E-3</v>
      </c>
      <c r="M39" s="23">
        <f t="shared" si="12"/>
        <v>2177.2249193224784</v>
      </c>
      <c r="N39" s="5">
        <v>0.92979999999999996</v>
      </c>
      <c r="P39" s="5">
        <v>6</v>
      </c>
      <c r="Q39" s="5">
        <v>20</v>
      </c>
      <c r="R39" s="5">
        <v>4.5</v>
      </c>
      <c r="S39" s="5">
        <f t="shared" si="13"/>
        <v>270</v>
      </c>
      <c r="T39" s="5">
        <f t="shared" si="14"/>
        <v>0.27</v>
      </c>
      <c r="U39" s="5">
        <f t="shared" si="15"/>
        <v>7.0650000000000004</v>
      </c>
      <c r="V39" s="23">
        <f t="shared" si="16"/>
        <v>38.216560509554135</v>
      </c>
      <c r="W39" s="5">
        <f t="shared" si="17"/>
        <v>15</v>
      </c>
      <c r="X39" s="5">
        <v>0.25459999999999999</v>
      </c>
      <c r="Y39" s="34">
        <v>-4.0366999999999997</v>
      </c>
      <c r="Z39" s="9">
        <f t="shared" si="18"/>
        <v>2.8288888888888886E-3</v>
      </c>
      <c r="AA39" s="23">
        <f t="shared" si="19"/>
        <v>2726.6675339360859</v>
      </c>
      <c r="AB39" s="5">
        <v>0.95599999999999996</v>
      </c>
      <c r="AC39" s="1"/>
      <c r="AD39" s="5">
        <v>6</v>
      </c>
      <c r="AE39" s="5">
        <v>20</v>
      </c>
      <c r="AF39" s="5">
        <v>4.5</v>
      </c>
      <c r="AG39" s="5">
        <f t="shared" si="20"/>
        <v>270</v>
      </c>
      <c r="AH39" s="5">
        <f t="shared" si="21"/>
        <v>0.27</v>
      </c>
      <c r="AI39" s="5">
        <f t="shared" si="22"/>
        <v>7.0650000000000004</v>
      </c>
      <c r="AJ39" s="23">
        <f t="shared" si="23"/>
        <v>38.216560509554135</v>
      </c>
      <c r="AK39" s="5">
        <f t="shared" si="24"/>
        <v>20</v>
      </c>
      <c r="AL39" s="5">
        <v>0.3165</v>
      </c>
      <c r="AM39" s="59">
        <v>-3.9243999999999999</v>
      </c>
      <c r="AN39" s="56">
        <f t="shared" si="25"/>
        <v>2.6375000000000001E-3</v>
      </c>
      <c r="AO39" s="57">
        <f t="shared" si="26"/>
        <v>2843.1672049989429</v>
      </c>
      <c r="AP39" s="58">
        <v>0.95660000000000001</v>
      </c>
      <c r="AQ39" s="1"/>
      <c r="AR39" s="1"/>
      <c r="AS39" s="1"/>
      <c r="AT39" s="1"/>
    </row>
    <row r="40" spans="2:46" ht="13.8">
      <c r="B40" s="5">
        <v>7</v>
      </c>
      <c r="C40" s="5">
        <v>20</v>
      </c>
      <c r="D40" s="5">
        <v>4.5</v>
      </c>
      <c r="E40" s="5">
        <f t="shared" si="6"/>
        <v>270</v>
      </c>
      <c r="F40" s="5">
        <f t="shared" si="7"/>
        <v>0.27</v>
      </c>
      <c r="G40" s="5">
        <f t="shared" si="8"/>
        <v>7.0650000000000004</v>
      </c>
      <c r="H40" s="23">
        <f t="shared" si="9"/>
        <v>38.216560509554135</v>
      </c>
      <c r="I40" s="5">
        <f t="shared" si="10"/>
        <v>10</v>
      </c>
      <c r="J40" s="5">
        <v>0.22539999999999999</v>
      </c>
      <c r="K40" s="34">
        <v>-4.2804000000000002</v>
      </c>
      <c r="L40" s="9">
        <f t="shared" si="11"/>
        <v>3.2199999999999998E-3</v>
      </c>
      <c r="M40" s="23">
        <f t="shared" si="12"/>
        <v>2540.0957392095579</v>
      </c>
      <c r="N40" s="5">
        <v>0.92979999999999996</v>
      </c>
      <c r="P40" s="5">
        <v>7</v>
      </c>
      <c r="Q40" s="5">
        <v>20</v>
      </c>
      <c r="R40" s="5">
        <v>4.5</v>
      </c>
      <c r="S40" s="5">
        <f t="shared" si="13"/>
        <v>270</v>
      </c>
      <c r="T40" s="5">
        <f t="shared" si="14"/>
        <v>0.27</v>
      </c>
      <c r="U40" s="5">
        <f t="shared" si="15"/>
        <v>7.0650000000000004</v>
      </c>
      <c r="V40" s="23">
        <f t="shared" si="16"/>
        <v>38.216560509554135</v>
      </c>
      <c r="W40" s="5">
        <f t="shared" si="17"/>
        <v>15</v>
      </c>
      <c r="X40" s="5">
        <v>0.25459999999999999</v>
      </c>
      <c r="Y40" s="34">
        <v>-4.0366999999999997</v>
      </c>
      <c r="Z40" s="9">
        <f t="shared" si="18"/>
        <v>2.4247619047619048E-3</v>
      </c>
      <c r="AA40" s="23">
        <f t="shared" si="19"/>
        <v>3181.1121229254327</v>
      </c>
      <c r="AB40" s="5">
        <v>0.95599999999999996</v>
      </c>
      <c r="AC40" s="1"/>
      <c r="AD40" s="5">
        <v>7</v>
      </c>
      <c r="AE40" s="5">
        <v>20</v>
      </c>
      <c r="AF40" s="5">
        <v>4.5</v>
      </c>
      <c r="AG40" s="5">
        <f t="shared" si="20"/>
        <v>270</v>
      </c>
      <c r="AH40" s="5">
        <f t="shared" si="21"/>
        <v>0.27</v>
      </c>
      <c r="AI40" s="5">
        <f t="shared" si="22"/>
        <v>7.0650000000000004</v>
      </c>
      <c r="AJ40" s="23">
        <f t="shared" si="23"/>
        <v>38.216560509554135</v>
      </c>
      <c r="AK40" s="5">
        <f t="shared" si="24"/>
        <v>20</v>
      </c>
      <c r="AL40" s="5">
        <v>0.3165</v>
      </c>
      <c r="AM40" s="59">
        <v>-3.9243999999999999</v>
      </c>
      <c r="AN40" s="56">
        <f t="shared" si="25"/>
        <v>2.2607142857142856E-3</v>
      </c>
      <c r="AO40" s="57">
        <f t="shared" si="26"/>
        <v>3317.0284058321004</v>
      </c>
      <c r="AP40" s="58">
        <v>0.95660000000000001</v>
      </c>
      <c r="AQ40" s="1"/>
      <c r="AR40" s="1"/>
      <c r="AS40" s="1"/>
      <c r="AT40" s="1"/>
    </row>
    <row r="41" spans="2:46" ht="13.8">
      <c r="B41" s="5">
        <v>8</v>
      </c>
      <c r="C41" s="5">
        <v>20</v>
      </c>
      <c r="D41" s="5">
        <v>4.5</v>
      </c>
      <c r="E41" s="5">
        <f t="shared" si="6"/>
        <v>270</v>
      </c>
      <c r="F41" s="5">
        <f t="shared" si="7"/>
        <v>0.27</v>
      </c>
      <c r="G41" s="5">
        <f t="shared" si="8"/>
        <v>7.0650000000000004</v>
      </c>
      <c r="H41" s="23">
        <f t="shared" si="9"/>
        <v>38.216560509554135</v>
      </c>
      <c r="I41" s="5">
        <f t="shared" si="10"/>
        <v>10</v>
      </c>
      <c r="J41" s="5">
        <v>0.22539999999999999</v>
      </c>
      <c r="K41" s="34">
        <v>-4.2804000000000002</v>
      </c>
      <c r="L41" s="9">
        <f t="shared" si="11"/>
        <v>2.8174999999999997E-3</v>
      </c>
      <c r="M41" s="23">
        <f t="shared" si="12"/>
        <v>2902.9665590966379</v>
      </c>
      <c r="N41" s="5">
        <v>0.92979999999999996</v>
      </c>
      <c r="P41" s="5">
        <v>8</v>
      </c>
      <c r="Q41" s="5">
        <v>20</v>
      </c>
      <c r="R41" s="5">
        <v>4.5</v>
      </c>
      <c r="S41" s="5">
        <f t="shared" si="13"/>
        <v>270</v>
      </c>
      <c r="T41" s="5">
        <f t="shared" si="14"/>
        <v>0.27</v>
      </c>
      <c r="U41" s="5">
        <f t="shared" si="15"/>
        <v>7.0650000000000004</v>
      </c>
      <c r="V41" s="23">
        <f t="shared" si="16"/>
        <v>38.216560509554135</v>
      </c>
      <c r="W41" s="5">
        <f t="shared" si="17"/>
        <v>15</v>
      </c>
      <c r="X41" s="5">
        <v>0.25459999999999999</v>
      </c>
      <c r="Y41" s="34">
        <v>-4.0366999999999997</v>
      </c>
      <c r="Z41" s="9">
        <f t="shared" si="18"/>
        <v>2.1216666666666667E-3</v>
      </c>
      <c r="AA41" s="23">
        <f t="shared" si="19"/>
        <v>3635.55671191478</v>
      </c>
      <c r="AB41" s="5">
        <v>0.95599999999999996</v>
      </c>
      <c r="AC41" s="1"/>
      <c r="AD41" s="5">
        <v>8</v>
      </c>
      <c r="AE41" s="5">
        <v>20</v>
      </c>
      <c r="AF41" s="5">
        <v>4.5</v>
      </c>
      <c r="AG41" s="5">
        <f t="shared" si="20"/>
        <v>270</v>
      </c>
      <c r="AH41" s="5">
        <f t="shared" si="21"/>
        <v>0.27</v>
      </c>
      <c r="AI41" s="5">
        <f t="shared" si="22"/>
        <v>7.0650000000000004</v>
      </c>
      <c r="AJ41" s="23">
        <f t="shared" si="23"/>
        <v>38.216560509554135</v>
      </c>
      <c r="AK41" s="5">
        <f t="shared" si="24"/>
        <v>20</v>
      </c>
      <c r="AL41" s="5">
        <v>0.3165</v>
      </c>
      <c r="AM41" s="59">
        <v>-3.9243999999999999</v>
      </c>
      <c r="AN41" s="56">
        <f t="shared" si="25"/>
        <v>1.9781249999999998E-3</v>
      </c>
      <c r="AO41" s="57">
        <f t="shared" si="26"/>
        <v>3790.8896066652574</v>
      </c>
      <c r="AP41" s="58">
        <v>0.95660000000000001</v>
      </c>
      <c r="AQ41" s="1"/>
      <c r="AR41" s="1"/>
      <c r="AS41" s="1"/>
      <c r="AT41" s="1"/>
    </row>
    <row r="42" spans="2:46" ht="13.8">
      <c r="B42" s="5">
        <v>9</v>
      </c>
      <c r="C42" s="5">
        <v>20</v>
      </c>
      <c r="D42" s="5">
        <v>4.5</v>
      </c>
      <c r="E42" s="5">
        <f t="shared" si="6"/>
        <v>270</v>
      </c>
      <c r="F42" s="5">
        <f t="shared" si="7"/>
        <v>0.27</v>
      </c>
      <c r="G42" s="5">
        <f t="shared" si="8"/>
        <v>7.0650000000000004</v>
      </c>
      <c r="H42" s="23">
        <f t="shared" si="9"/>
        <v>38.216560509554135</v>
      </c>
      <c r="I42" s="5">
        <f t="shared" si="10"/>
        <v>10</v>
      </c>
      <c r="J42" s="5">
        <v>0.22539999999999999</v>
      </c>
      <c r="K42" s="34">
        <v>-4.2804000000000002</v>
      </c>
      <c r="L42" s="9">
        <f t="shared" si="11"/>
        <v>2.5044444444444441E-3</v>
      </c>
      <c r="M42" s="23">
        <f t="shared" si="12"/>
        <v>3265.8373789837174</v>
      </c>
      <c r="N42" s="5">
        <v>0.92979999999999996</v>
      </c>
      <c r="P42" s="5">
        <v>9</v>
      </c>
      <c r="Q42" s="5">
        <v>20</v>
      </c>
      <c r="R42" s="5">
        <v>4.5</v>
      </c>
      <c r="S42" s="5">
        <f t="shared" si="13"/>
        <v>270</v>
      </c>
      <c r="T42" s="5">
        <f t="shared" si="14"/>
        <v>0.27</v>
      </c>
      <c r="U42" s="5">
        <f t="shared" si="15"/>
        <v>7.0650000000000004</v>
      </c>
      <c r="V42" s="23">
        <f t="shared" si="16"/>
        <v>38.216560509554135</v>
      </c>
      <c r="W42" s="5">
        <f t="shared" si="17"/>
        <v>15</v>
      </c>
      <c r="X42" s="5">
        <v>0.25459999999999999</v>
      </c>
      <c r="Y42" s="34">
        <v>-4.0366999999999997</v>
      </c>
      <c r="Z42" s="9">
        <f t="shared" si="18"/>
        <v>1.8859259259259259E-3</v>
      </c>
      <c r="AA42" s="23">
        <f t="shared" si="19"/>
        <v>4090.0013009041277</v>
      </c>
      <c r="AB42" s="5">
        <v>0.95599999999999996</v>
      </c>
      <c r="AC42" s="1"/>
      <c r="AD42" s="5">
        <v>9</v>
      </c>
      <c r="AE42" s="5">
        <v>20</v>
      </c>
      <c r="AF42" s="5">
        <v>4.5</v>
      </c>
      <c r="AG42" s="5">
        <f t="shared" si="20"/>
        <v>270</v>
      </c>
      <c r="AH42" s="5">
        <f t="shared" si="21"/>
        <v>0.27</v>
      </c>
      <c r="AI42" s="5">
        <f t="shared" si="22"/>
        <v>7.0650000000000004</v>
      </c>
      <c r="AJ42" s="23">
        <f t="shared" si="23"/>
        <v>38.216560509554135</v>
      </c>
      <c r="AK42" s="5">
        <f t="shared" si="24"/>
        <v>20</v>
      </c>
      <c r="AL42" s="5">
        <v>0.3165</v>
      </c>
      <c r="AM42" s="59">
        <v>-3.9243999999999999</v>
      </c>
      <c r="AN42" s="56">
        <f t="shared" si="25"/>
        <v>1.7583333333333333E-3</v>
      </c>
      <c r="AO42" s="57">
        <f t="shared" si="26"/>
        <v>4264.7508074984144</v>
      </c>
      <c r="AP42" s="58">
        <v>0.95660000000000001</v>
      </c>
      <c r="AQ42" s="1"/>
      <c r="AR42" s="1"/>
      <c r="AS42" s="1"/>
      <c r="AT42" s="1"/>
    </row>
    <row r="43" spans="2:46" ht="13.8">
      <c r="B43" s="5">
        <v>10</v>
      </c>
      <c r="C43" s="5">
        <v>20</v>
      </c>
      <c r="D43" s="5">
        <v>4.5</v>
      </c>
      <c r="E43" s="5">
        <f t="shared" si="6"/>
        <v>270</v>
      </c>
      <c r="F43" s="5">
        <f t="shared" si="7"/>
        <v>0.27</v>
      </c>
      <c r="G43" s="5">
        <f t="shared" si="8"/>
        <v>7.0650000000000004</v>
      </c>
      <c r="H43" s="23">
        <f t="shared" si="9"/>
        <v>38.216560509554135</v>
      </c>
      <c r="I43" s="5">
        <f t="shared" si="10"/>
        <v>10</v>
      </c>
      <c r="J43" s="5">
        <v>0.22539999999999999</v>
      </c>
      <c r="K43" s="34">
        <v>-4.2804000000000002</v>
      </c>
      <c r="L43" s="9">
        <f t="shared" si="11"/>
        <v>2.2539999999999999E-3</v>
      </c>
      <c r="M43" s="23">
        <f t="shared" si="12"/>
        <v>3628.7081988707973</v>
      </c>
      <c r="N43" s="5">
        <v>0.92979999999999996</v>
      </c>
      <c r="P43" s="5">
        <v>10</v>
      </c>
      <c r="Q43" s="5">
        <v>20</v>
      </c>
      <c r="R43" s="5">
        <v>4.5</v>
      </c>
      <c r="S43" s="5">
        <f t="shared" si="13"/>
        <v>270</v>
      </c>
      <c r="T43" s="5">
        <f t="shared" si="14"/>
        <v>0.27</v>
      </c>
      <c r="U43" s="5">
        <f t="shared" si="15"/>
        <v>7.0650000000000004</v>
      </c>
      <c r="V43" s="23">
        <f t="shared" si="16"/>
        <v>38.216560509554135</v>
      </c>
      <c r="W43" s="5">
        <f t="shared" si="17"/>
        <v>15</v>
      </c>
      <c r="X43" s="5">
        <v>0.25459999999999999</v>
      </c>
      <c r="Y43" s="34">
        <v>-4.0366999999999997</v>
      </c>
      <c r="Z43" s="9">
        <f t="shared" si="18"/>
        <v>1.6973333333333332E-3</v>
      </c>
      <c r="AA43" s="23">
        <f t="shared" si="19"/>
        <v>4544.4458898934754</v>
      </c>
      <c r="AB43" s="5">
        <v>0.95599999999999996</v>
      </c>
      <c r="AC43" s="1"/>
      <c r="AD43" s="5">
        <v>10</v>
      </c>
      <c r="AE43" s="5">
        <v>20</v>
      </c>
      <c r="AF43" s="5">
        <v>4.5</v>
      </c>
      <c r="AG43" s="5">
        <f t="shared" si="20"/>
        <v>270</v>
      </c>
      <c r="AH43" s="5">
        <f t="shared" si="21"/>
        <v>0.27</v>
      </c>
      <c r="AI43" s="5">
        <f t="shared" si="22"/>
        <v>7.0650000000000004</v>
      </c>
      <c r="AJ43" s="23">
        <f t="shared" si="23"/>
        <v>38.216560509554135</v>
      </c>
      <c r="AK43" s="5">
        <f t="shared" si="24"/>
        <v>20</v>
      </c>
      <c r="AL43" s="5">
        <v>0.3165</v>
      </c>
      <c r="AM43" s="59">
        <v>-3.9243999999999999</v>
      </c>
      <c r="AN43" s="56">
        <f t="shared" si="25"/>
        <v>1.5824999999999999E-3</v>
      </c>
      <c r="AO43" s="57">
        <f t="shared" si="26"/>
        <v>4738.6120083315718</v>
      </c>
      <c r="AP43" s="58">
        <v>0.95660000000000001</v>
      </c>
      <c r="AQ43" s="1"/>
      <c r="AR43" s="1"/>
      <c r="AS43" s="1"/>
      <c r="AT43" s="1"/>
    </row>
    <row r="44" spans="2:46" ht="13.8">
      <c r="B44" s="5">
        <v>11</v>
      </c>
      <c r="C44" s="5">
        <v>20</v>
      </c>
      <c r="D44" s="5">
        <v>4.5</v>
      </c>
      <c r="E44" s="5">
        <f t="shared" si="6"/>
        <v>270</v>
      </c>
      <c r="F44" s="5">
        <f t="shared" si="7"/>
        <v>0.27</v>
      </c>
      <c r="G44" s="5">
        <f t="shared" si="8"/>
        <v>7.0650000000000004</v>
      </c>
      <c r="H44" s="23">
        <f t="shared" si="9"/>
        <v>38.216560509554135</v>
      </c>
      <c r="I44" s="5">
        <f t="shared" si="10"/>
        <v>10</v>
      </c>
      <c r="J44" s="5">
        <v>0.22539999999999999</v>
      </c>
      <c r="K44" s="34">
        <v>-4.2804000000000002</v>
      </c>
      <c r="L44" s="9">
        <f t="shared" si="11"/>
        <v>2.0490909090909088E-3</v>
      </c>
      <c r="M44" s="23">
        <f t="shared" si="12"/>
        <v>3991.5790187578773</v>
      </c>
      <c r="N44" s="5">
        <v>0.92979999999999996</v>
      </c>
      <c r="P44" s="5">
        <v>11</v>
      </c>
      <c r="Q44" s="5">
        <v>20</v>
      </c>
      <c r="R44" s="5">
        <v>4.5</v>
      </c>
      <c r="S44" s="5">
        <f t="shared" si="13"/>
        <v>270</v>
      </c>
      <c r="T44" s="5">
        <f t="shared" si="14"/>
        <v>0.27</v>
      </c>
      <c r="U44" s="5">
        <f t="shared" si="15"/>
        <v>7.0650000000000004</v>
      </c>
      <c r="V44" s="23">
        <f t="shared" si="16"/>
        <v>38.216560509554135</v>
      </c>
      <c r="W44" s="5">
        <f t="shared" si="17"/>
        <v>15</v>
      </c>
      <c r="X44" s="5">
        <v>0.25459999999999999</v>
      </c>
      <c r="Y44" s="34">
        <v>-4.0366999999999997</v>
      </c>
      <c r="Z44" s="9">
        <f t="shared" si="18"/>
        <v>1.543030303030303E-3</v>
      </c>
      <c r="AA44" s="23">
        <f t="shared" si="19"/>
        <v>4998.8904788828231</v>
      </c>
      <c r="AB44" s="5">
        <v>0.95599999999999996</v>
      </c>
      <c r="AC44" s="1"/>
      <c r="AD44" s="5">
        <v>11</v>
      </c>
      <c r="AE44" s="5">
        <v>20</v>
      </c>
      <c r="AF44" s="5">
        <v>4.5</v>
      </c>
      <c r="AG44" s="5">
        <f t="shared" si="20"/>
        <v>270</v>
      </c>
      <c r="AH44" s="5">
        <f t="shared" si="21"/>
        <v>0.27</v>
      </c>
      <c r="AI44" s="5">
        <f t="shared" si="22"/>
        <v>7.0650000000000004</v>
      </c>
      <c r="AJ44" s="23">
        <f t="shared" si="23"/>
        <v>38.216560509554135</v>
      </c>
      <c r="AK44" s="5">
        <f t="shared" si="24"/>
        <v>20</v>
      </c>
      <c r="AL44" s="5">
        <v>0.3165</v>
      </c>
      <c r="AM44" s="59">
        <v>-3.9243999999999999</v>
      </c>
      <c r="AN44" s="56">
        <f t="shared" si="25"/>
        <v>1.4386363636363637E-3</v>
      </c>
      <c r="AO44" s="57">
        <f t="shared" si="26"/>
        <v>5212.4732091647284</v>
      </c>
      <c r="AP44" s="58">
        <v>0.95660000000000001</v>
      </c>
      <c r="AQ44" s="1"/>
      <c r="AR44" s="1"/>
      <c r="AS44" s="1"/>
      <c r="AT44" s="1"/>
    </row>
    <row r="45" spans="2:46" ht="13.8">
      <c r="B45" s="5">
        <v>12</v>
      </c>
      <c r="C45" s="5">
        <v>20</v>
      </c>
      <c r="D45" s="5">
        <v>4.5</v>
      </c>
      <c r="E45" s="5">
        <f t="shared" si="6"/>
        <v>270</v>
      </c>
      <c r="F45" s="5">
        <f t="shared" si="7"/>
        <v>0.27</v>
      </c>
      <c r="G45" s="5">
        <f t="shared" si="8"/>
        <v>7.0650000000000004</v>
      </c>
      <c r="H45" s="23">
        <f t="shared" si="9"/>
        <v>38.216560509554135</v>
      </c>
      <c r="I45" s="5">
        <f t="shared" si="10"/>
        <v>10</v>
      </c>
      <c r="J45" s="5">
        <v>0.22539999999999999</v>
      </c>
      <c r="K45" s="34">
        <v>-4.2804000000000002</v>
      </c>
      <c r="L45" s="9">
        <f t="shared" si="11"/>
        <v>1.8783333333333332E-3</v>
      </c>
      <c r="M45" s="23">
        <f t="shared" si="12"/>
        <v>4354.4498386449568</v>
      </c>
      <c r="N45" s="5">
        <v>0.92979999999999996</v>
      </c>
      <c r="P45" s="5">
        <v>12</v>
      </c>
      <c r="Q45" s="5">
        <v>20</v>
      </c>
      <c r="R45" s="5">
        <v>4.5</v>
      </c>
      <c r="S45" s="5">
        <f t="shared" si="13"/>
        <v>270</v>
      </c>
      <c r="T45" s="5">
        <f t="shared" si="14"/>
        <v>0.27</v>
      </c>
      <c r="U45" s="5">
        <f t="shared" si="15"/>
        <v>7.0650000000000004</v>
      </c>
      <c r="V45" s="23">
        <f t="shared" si="16"/>
        <v>38.216560509554135</v>
      </c>
      <c r="W45" s="5">
        <f t="shared" si="17"/>
        <v>15</v>
      </c>
      <c r="X45" s="5">
        <v>0.25459999999999999</v>
      </c>
      <c r="Y45" s="34">
        <v>-4.0366999999999997</v>
      </c>
      <c r="Z45" s="9">
        <f t="shared" si="18"/>
        <v>1.4144444444444443E-3</v>
      </c>
      <c r="AA45" s="23">
        <f t="shared" si="19"/>
        <v>5453.3350678721717</v>
      </c>
      <c r="AB45" s="5">
        <v>0.95599999999999996</v>
      </c>
      <c r="AC45" s="1"/>
      <c r="AD45" s="5">
        <v>12</v>
      </c>
      <c r="AE45" s="5">
        <v>20</v>
      </c>
      <c r="AF45" s="5">
        <v>4.5</v>
      </c>
      <c r="AG45" s="5">
        <f t="shared" si="20"/>
        <v>270</v>
      </c>
      <c r="AH45" s="5">
        <f t="shared" si="21"/>
        <v>0.27</v>
      </c>
      <c r="AI45" s="5">
        <f t="shared" si="22"/>
        <v>7.0650000000000004</v>
      </c>
      <c r="AJ45" s="23">
        <f t="shared" si="23"/>
        <v>38.216560509554135</v>
      </c>
      <c r="AK45" s="5">
        <f t="shared" si="24"/>
        <v>20</v>
      </c>
      <c r="AL45" s="5">
        <v>0.3165</v>
      </c>
      <c r="AM45" s="59">
        <v>-3.9243999999999999</v>
      </c>
      <c r="AN45" s="56">
        <f t="shared" si="25"/>
        <v>1.31875E-3</v>
      </c>
      <c r="AO45" s="57">
        <f t="shared" si="26"/>
        <v>5686.3344099978858</v>
      </c>
      <c r="AP45" s="58">
        <v>0.95660000000000001</v>
      </c>
      <c r="AQ45" s="1"/>
      <c r="AR45" s="1"/>
      <c r="AS45" s="1"/>
      <c r="AT45" s="1"/>
    </row>
    <row r="46" spans="2:46" ht="13.8">
      <c r="B46" s="5">
        <v>13</v>
      </c>
      <c r="C46" s="5">
        <v>20</v>
      </c>
      <c r="D46" s="5">
        <v>4.5</v>
      </c>
      <c r="E46" s="5">
        <f t="shared" si="6"/>
        <v>270</v>
      </c>
      <c r="F46" s="5">
        <f t="shared" si="7"/>
        <v>0.27</v>
      </c>
      <c r="G46" s="5">
        <f t="shared" si="8"/>
        <v>7.0650000000000004</v>
      </c>
      <c r="H46" s="23">
        <f t="shared" si="9"/>
        <v>38.216560509554135</v>
      </c>
      <c r="I46" s="5">
        <f t="shared" si="10"/>
        <v>10</v>
      </c>
      <c r="J46" s="5">
        <v>0.22539999999999999</v>
      </c>
      <c r="K46" s="34">
        <v>-4.2804000000000002</v>
      </c>
      <c r="L46" s="9">
        <f t="shared" si="11"/>
        <v>1.7338461538461537E-3</v>
      </c>
      <c r="M46" s="23">
        <f t="shared" si="12"/>
        <v>4717.3206585320358</v>
      </c>
      <c r="N46" s="5">
        <v>0.92979999999999996</v>
      </c>
      <c r="P46" s="5">
        <v>13</v>
      </c>
      <c r="Q46" s="5">
        <v>20</v>
      </c>
      <c r="R46" s="5">
        <v>4.5</v>
      </c>
      <c r="S46" s="5">
        <f t="shared" si="13"/>
        <v>270</v>
      </c>
      <c r="T46" s="5">
        <f t="shared" si="14"/>
        <v>0.27</v>
      </c>
      <c r="U46" s="5">
        <f t="shared" si="15"/>
        <v>7.0650000000000004</v>
      </c>
      <c r="V46" s="23">
        <f t="shared" si="16"/>
        <v>38.216560509554135</v>
      </c>
      <c r="W46" s="5">
        <f t="shared" si="17"/>
        <v>15</v>
      </c>
      <c r="X46" s="5">
        <v>0.25459999999999999</v>
      </c>
      <c r="Y46" s="34">
        <v>-4.0366999999999997</v>
      </c>
      <c r="Z46" s="9">
        <f t="shared" si="18"/>
        <v>1.3056410256410255E-3</v>
      </c>
      <c r="AA46" s="23">
        <f t="shared" si="19"/>
        <v>5907.7796568615186</v>
      </c>
      <c r="AB46" s="5">
        <v>0.95599999999999996</v>
      </c>
      <c r="AC46" s="1"/>
      <c r="AD46" s="35">
        <v>13</v>
      </c>
      <c r="AE46" s="35">
        <v>20</v>
      </c>
      <c r="AF46" s="35">
        <v>4.5</v>
      </c>
      <c r="AG46" s="35">
        <f t="shared" si="20"/>
        <v>270</v>
      </c>
      <c r="AH46" s="35">
        <f t="shared" si="21"/>
        <v>0.27</v>
      </c>
      <c r="AI46" s="35">
        <f t="shared" si="22"/>
        <v>7.0650000000000004</v>
      </c>
      <c r="AJ46" s="36">
        <f t="shared" si="23"/>
        <v>38.216560509554135</v>
      </c>
      <c r="AK46" s="35">
        <f t="shared" si="24"/>
        <v>20</v>
      </c>
      <c r="AL46" s="5">
        <v>0.3165</v>
      </c>
      <c r="AM46" s="59">
        <v>-3.9243999999999999</v>
      </c>
      <c r="AN46" s="56">
        <f t="shared" si="25"/>
        <v>1.2173076923076922E-3</v>
      </c>
      <c r="AO46" s="57">
        <f t="shared" si="26"/>
        <v>6160.1956108310442</v>
      </c>
      <c r="AP46" s="58">
        <v>0.95660000000000001</v>
      </c>
      <c r="AQ46" s="1"/>
      <c r="AR46" s="1"/>
      <c r="AS46" s="1"/>
      <c r="AT46" s="1"/>
    </row>
    <row r="47" spans="2:46" ht="13.8">
      <c r="B47" s="5">
        <v>14</v>
      </c>
      <c r="C47" s="5">
        <v>20</v>
      </c>
      <c r="D47" s="5">
        <v>4.5</v>
      </c>
      <c r="E47" s="5">
        <f t="shared" si="6"/>
        <v>270</v>
      </c>
      <c r="F47" s="5">
        <f t="shared" si="7"/>
        <v>0.27</v>
      </c>
      <c r="G47" s="5">
        <f t="shared" si="8"/>
        <v>7.0650000000000004</v>
      </c>
      <c r="H47" s="23">
        <f t="shared" si="9"/>
        <v>38.216560509554135</v>
      </c>
      <c r="I47" s="5">
        <f t="shared" si="10"/>
        <v>10</v>
      </c>
      <c r="J47" s="5">
        <v>0.22539999999999999</v>
      </c>
      <c r="K47" s="34">
        <v>-4.2804000000000002</v>
      </c>
      <c r="L47" s="9">
        <f t="shared" si="11"/>
        <v>1.6099999999999999E-3</v>
      </c>
      <c r="M47" s="23">
        <f t="shared" si="12"/>
        <v>5080.1914784191158</v>
      </c>
      <c r="N47" s="5">
        <v>0.92979999999999996</v>
      </c>
      <c r="P47" s="5">
        <v>14</v>
      </c>
      <c r="Q47" s="5">
        <v>20</v>
      </c>
      <c r="R47" s="5">
        <v>4.5</v>
      </c>
      <c r="S47" s="5">
        <f t="shared" si="13"/>
        <v>270</v>
      </c>
      <c r="T47" s="5">
        <f t="shared" si="14"/>
        <v>0.27</v>
      </c>
      <c r="U47" s="5">
        <f t="shared" si="15"/>
        <v>7.0650000000000004</v>
      </c>
      <c r="V47" s="23">
        <f t="shared" si="16"/>
        <v>38.216560509554135</v>
      </c>
      <c r="W47" s="5">
        <f t="shared" si="17"/>
        <v>15</v>
      </c>
      <c r="X47" s="5">
        <v>0.25459999999999999</v>
      </c>
      <c r="Y47" s="34">
        <v>-4.0366999999999997</v>
      </c>
      <c r="Z47" s="9">
        <f t="shared" si="18"/>
        <v>1.2123809523809524E-3</v>
      </c>
      <c r="AA47" s="23">
        <f t="shared" si="19"/>
        <v>6362.2242458508654</v>
      </c>
      <c r="AB47" s="5">
        <v>0.95599999999999996</v>
      </c>
      <c r="AC47" s="1"/>
      <c r="AD47" s="5">
        <v>14</v>
      </c>
      <c r="AE47" s="5">
        <v>20</v>
      </c>
      <c r="AF47" s="5">
        <v>4.5</v>
      </c>
      <c r="AG47" s="5">
        <f t="shared" si="20"/>
        <v>270</v>
      </c>
      <c r="AH47" s="5">
        <f t="shared" si="21"/>
        <v>0.27</v>
      </c>
      <c r="AI47" s="5">
        <f t="shared" si="22"/>
        <v>7.0650000000000004</v>
      </c>
      <c r="AJ47" s="23">
        <f t="shared" si="23"/>
        <v>38.216560509554135</v>
      </c>
      <c r="AK47" s="5">
        <f t="shared" si="24"/>
        <v>20</v>
      </c>
      <c r="AL47" s="5">
        <v>0.3165</v>
      </c>
      <c r="AM47" s="59">
        <v>-3.9243999999999999</v>
      </c>
      <c r="AN47" s="56">
        <f t="shared" si="25"/>
        <v>1.1303571428571428E-3</v>
      </c>
      <c r="AO47" s="57">
        <f t="shared" si="26"/>
        <v>6634.0568116642007</v>
      </c>
      <c r="AP47" s="58">
        <v>0.95660000000000001</v>
      </c>
      <c r="AQ47" s="1"/>
      <c r="AR47" s="1"/>
      <c r="AS47" s="1"/>
      <c r="AT47" s="1"/>
    </row>
    <row r="48" spans="2:46" ht="13.8">
      <c r="B48" s="5">
        <v>15</v>
      </c>
      <c r="C48" s="5">
        <v>20</v>
      </c>
      <c r="D48" s="5">
        <v>4.5</v>
      </c>
      <c r="E48" s="5">
        <f t="shared" si="6"/>
        <v>270</v>
      </c>
      <c r="F48" s="5">
        <f t="shared" si="7"/>
        <v>0.27</v>
      </c>
      <c r="G48" s="5">
        <f t="shared" si="8"/>
        <v>7.0650000000000004</v>
      </c>
      <c r="H48" s="23">
        <f t="shared" si="9"/>
        <v>38.216560509554135</v>
      </c>
      <c r="I48" s="5">
        <f t="shared" si="10"/>
        <v>10</v>
      </c>
      <c r="J48" s="5">
        <v>0.22539999999999999</v>
      </c>
      <c r="K48" s="34">
        <v>-4.2804000000000002</v>
      </c>
      <c r="L48" s="9">
        <f t="shared" si="11"/>
        <v>1.5026666666666667E-3</v>
      </c>
      <c r="M48" s="23">
        <f t="shared" si="12"/>
        <v>5443.0622983061949</v>
      </c>
      <c r="N48" s="5">
        <v>0.92979999999999996</v>
      </c>
      <c r="P48" s="5">
        <v>15</v>
      </c>
      <c r="Q48" s="5">
        <v>20</v>
      </c>
      <c r="R48" s="5">
        <v>4.5</v>
      </c>
      <c r="S48" s="5">
        <f t="shared" si="13"/>
        <v>270</v>
      </c>
      <c r="T48" s="5">
        <f t="shared" si="14"/>
        <v>0.27</v>
      </c>
      <c r="U48" s="5">
        <f t="shared" si="15"/>
        <v>7.0650000000000004</v>
      </c>
      <c r="V48" s="23">
        <f t="shared" si="16"/>
        <v>38.216560509554135</v>
      </c>
      <c r="W48" s="5">
        <f t="shared" si="17"/>
        <v>15</v>
      </c>
      <c r="X48" s="5">
        <v>0.25459999999999999</v>
      </c>
      <c r="Y48" s="34">
        <v>-4.0366999999999997</v>
      </c>
      <c r="Z48" s="9">
        <f t="shared" si="18"/>
        <v>1.1315555555555556E-3</v>
      </c>
      <c r="AA48" s="23">
        <f t="shared" si="19"/>
        <v>6816.6688348402131</v>
      </c>
      <c r="AB48" s="5">
        <v>0.95599999999999996</v>
      </c>
      <c r="AC48" s="1"/>
      <c r="AD48" s="1"/>
      <c r="AE48" s="1"/>
      <c r="AF48" s="1"/>
      <c r="AG48" s="1"/>
      <c r="AH48" s="1"/>
      <c r="AI48" s="1"/>
      <c r="AJ48" s="37"/>
      <c r="AK48" s="1"/>
      <c r="AL48" s="1"/>
      <c r="AM48" s="22"/>
      <c r="AN48" s="32"/>
      <c r="AO48" s="37"/>
      <c r="AP48" s="1"/>
      <c r="AQ48" s="1"/>
      <c r="AR48" s="1"/>
      <c r="AS48" s="1"/>
      <c r="AT48" s="1"/>
    </row>
    <row r="49" spans="2:46" ht="13.8">
      <c r="B49" s="5">
        <v>16</v>
      </c>
      <c r="C49" s="5">
        <v>20</v>
      </c>
      <c r="D49" s="5">
        <v>4.5</v>
      </c>
      <c r="E49" s="5">
        <f t="shared" si="6"/>
        <v>270</v>
      </c>
      <c r="F49" s="5">
        <f t="shared" si="7"/>
        <v>0.27</v>
      </c>
      <c r="G49" s="5">
        <f t="shared" si="8"/>
        <v>7.0650000000000004</v>
      </c>
      <c r="H49" s="23">
        <f t="shared" si="9"/>
        <v>38.216560509554135</v>
      </c>
      <c r="I49" s="5">
        <f t="shared" si="10"/>
        <v>10</v>
      </c>
      <c r="J49" s="5">
        <v>0.22539999999999999</v>
      </c>
      <c r="K49" s="34">
        <v>-4.2804000000000002</v>
      </c>
      <c r="L49" s="9">
        <f t="shared" si="11"/>
        <v>1.4087499999999998E-3</v>
      </c>
      <c r="M49" s="23">
        <f t="shared" si="12"/>
        <v>5805.9331181932757</v>
      </c>
      <c r="N49" s="5">
        <v>0.92979999999999996</v>
      </c>
      <c r="P49" s="5">
        <v>16</v>
      </c>
      <c r="Q49" s="5">
        <v>20</v>
      </c>
      <c r="R49" s="5">
        <v>4.5</v>
      </c>
      <c r="S49" s="5">
        <f t="shared" si="13"/>
        <v>270</v>
      </c>
      <c r="T49" s="5">
        <f t="shared" si="14"/>
        <v>0.27</v>
      </c>
      <c r="U49" s="5">
        <f t="shared" si="15"/>
        <v>7.0650000000000004</v>
      </c>
      <c r="V49" s="23">
        <f t="shared" si="16"/>
        <v>38.216560509554135</v>
      </c>
      <c r="W49" s="5">
        <f t="shared" si="17"/>
        <v>15</v>
      </c>
      <c r="X49" s="5">
        <v>0.25459999999999999</v>
      </c>
      <c r="Y49" s="34">
        <v>-4.0366999999999997</v>
      </c>
      <c r="Z49" s="9">
        <f t="shared" si="18"/>
        <v>1.0608333333333333E-3</v>
      </c>
      <c r="AA49" s="23">
        <f t="shared" si="19"/>
        <v>7271.1134238295599</v>
      </c>
      <c r="AB49" s="5">
        <v>0.95599999999999996</v>
      </c>
      <c r="AC49" s="1"/>
      <c r="AD49" s="1"/>
      <c r="AE49" s="1"/>
      <c r="AF49" s="1"/>
      <c r="AG49" s="1"/>
      <c r="AH49" s="1"/>
      <c r="AI49" s="1"/>
      <c r="AJ49" s="37"/>
      <c r="AK49" s="1"/>
      <c r="AL49" s="1"/>
      <c r="AM49" s="22"/>
      <c r="AN49" s="32"/>
      <c r="AO49" s="37"/>
      <c r="AP49" s="1"/>
      <c r="AQ49" s="1"/>
      <c r="AR49" s="1"/>
      <c r="AS49" s="1"/>
      <c r="AT49" s="1"/>
    </row>
    <row r="50" spans="2:46" ht="13.8">
      <c r="B50" s="5">
        <v>17</v>
      </c>
      <c r="C50" s="5">
        <v>20</v>
      </c>
      <c r="D50" s="5">
        <v>4.5</v>
      </c>
      <c r="E50" s="5">
        <f t="shared" si="6"/>
        <v>270</v>
      </c>
      <c r="F50" s="5">
        <f t="shared" si="7"/>
        <v>0.27</v>
      </c>
      <c r="G50" s="5">
        <f t="shared" si="8"/>
        <v>7.0650000000000004</v>
      </c>
      <c r="H50" s="23">
        <f t="shared" si="9"/>
        <v>38.216560509554135</v>
      </c>
      <c r="I50" s="5">
        <f t="shared" si="10"/>
        <v>10</v>
      </c>
      <c r="J50" s="5">
        <v>0.22539999999999999</v>
      </c>
      <c r="K50" s="34">
        <v>-4.2804000000000002</v>
      </c>
      <c r="L50" s="9">
        <f t="shared" si="11"/>
        <v>1.3258823529411763E-3</v>
      </c>
      <c r="M50" s="23">
        <f t="shared" si="12"/>
        <v>6168.8039380803548</v>
      </c>
      <c r="N50" s="5">
        <v>0.92979999999999996</v>
      </c>
      <c r="P50" s="35">
        <v>17</v>
      </c>
      <c r="Q50" s="35">
        <v>20</v>
      </c>
      <c r="R50" s="35">
        <v>4.5</v>
      </c>
      <c r="S50" s="35">
        <f t="shared" si="13"/>
        <v>270</v>
      </c>
      <c r="T50" s="35">
        <f t="shared" si="14"/>
        <v>0.27</v>
      </c>
      <c r="U50" s="35">
        <f t="shared" si="15"/>
        <v>7.0650000000000004</v>
      </c>
      <c r="V50" s="36">
        <f t="shared" si="16"/>
        <v>38.216560509554135</v>
      </c>
      <c r="W50" s="35">
        <f t="shared" si="17"/>
        <v>15</v>
      </c>
      <c r="X50" s="5">
        <v>0.25459999999999999</v>
      </c>
      <c r="Y50" s="34">
        <v>-4.0366999999999997</v>
      </c>
      <c r="Z50" s="9">
        <f t="shared" si="18"/>
        <v>9.9843137254901956E-4</v>
      </c>
      <c r="AA50" s="23">
        <f t="shared" si="19"/>
        <v>7725.5580128189085</v>
      </c>
      <c r="AB50" s="5">
        <v>0.95599999999999996</v>
      </c>
      <c r="AC50" s="1"/>
      <c r="AD50" s="1"/>
      <c r="AE50" s="1"/>
      <c r="AF50" s="1"/>
      <c r="AG50" s="1"/>
      <c r="AH50" s="1"/>
      <c r="AI50" s="1"/>
      <c r="AJ50" s="37"/>
      <c r="AK50" s="1"/>
      <c r="AL50" s="1"/>
      <c r="AM50" s="22"/>
      <c r="AN50" s="32"/>
      <c r="AO50" s="37"/>
      <c r="AP50" s="1"/>
      <c r="AQ50" s="1"/>
      <c r="AR50" s="1"/>
      <c r="AS50" s="1"/>
      <c r="AT50" s="1"/>
    </row>
    <row r="51" spans="2:46" ht="13.8">
      <c r="B51" s="5">
        <v>18</v>
      </c>
      <c r="C51" s="5">
        <v>20</v>
      </c>
      <c r="D51" s="5">
        <v>4.5</v>
      </c>
      <c r="E51" s="5">
        <f t="shared" si="6"/>
        <v>270</v>
      </c>
      <c r="F51" s="5">
        <f t="shared" si="7"/>
        <v>0.27</v>
      </c>
      <c r="G51" s="5">
        <f t="shared" si="8"/>
        <v>7.0650000000000004</v>
      </c>
      <c r="H51" s="23">
        <f t="shared" si="9"/>
        <v>38.216560509554135</v>
      </c>
      <c r="I51" s="5">
        <f t="shared" si="10"/>
        <v>10</v>
      </c>
      <c r="J51" s="5">
        <v>0.22539999999999999</v>
      </c>
      <c r="K51" s="34">
        <v>-4.2804000000000002</v>
      </c>
      <c r="L51" s="9">
        <f t="shared" si="11"/>
        <v>1.2522222222222221E-3</v>
      </c>
      <c r="M51" s="23">
        <f t="shared" si="12"/>
        <v>6531.6747579674347</v>
      </c>
      <c r="N51" s="5">
        <v>0.92979999999999996</v>
      </c>
      <c r="P51" s="5">
        <v>18</v>
      </c>
      <c r="Q51" s="5">
        <v>20</v>
      </c>
      <c r="R51" s="5">
        <v>4.5</v>
      </c>
      <c r="S51" s="5">
        <f t="shared" si="13"/>
        <v>270</v>
      </c>
      <c r="T51" s="5">
        <f t="shared" si="14"/>
        <v>0.27</v>
      </c>
      <c r="U51" s="5">
        <f t="shared" si="15"/>
        <v>7.0650000000000004</v>
      </c>
      <c r="V51" s="23">
        <f t="shared" si="16"/>
        <v>38.216560509554135</v>
      </c>
      <c r="W51" s="5">
        <f t="shared" si="17"/>
        <v>15</v>
      </c>
      <c r="X51" s="5">
        <v>0.25459999999999999</v>
      </c>
      <c r="Y51" s="34">
        <v>-4.0366999999999997</v>
      </c>
      <c r="Z51" s="9">
        <f t="shared" si="18"/>
        <v>9.4296296296296294E-4</v>
      </c>
      <c r="AA51" s="23">
        <f t="shared" si="19"/>
        <v>8180.0026018082553</v>
      </c>
      <c r="AB51" s="5">
        <v>0.95599999999999996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2:46" ht="13.8">
      <c r="B52" s="5">
        <v>19</v>
      </c>
      <c r="C52" s="5">
        <v>20</v>
      </c>
      <c r="D52" s="5">
        <v>4.5</v>
      </c>
      <c r="E52" s="5">
        <f t="shared" si="6"/>
        <v>270</v>
      </c>
      <c r="F52" s="5">
        <f t="shared" si="7"/>
        <v>0.27</v>
      </c>
      <c r="G52" s="5">
        <f t="shared" si="8"/>
        <v>7.0650000000000004</v>
      </c>
      <c r="H52" s="23">
        <f t="shared" si="9"/>
        <v>38.216560509554135</v>
      </c>
      <c r="I52" s="5">
        <f t="shared" si="10"/>
        <v>10</v>
      </c>
      <c r="J52" s="5">
        <v>0.22539999999999999</v>
      </c>
      <c r="K52" s="34">
        <v>-4.2804000000000002</v>
      </c>
      <c r="L52" s="9">
        <f t="shared" si="11"/>
        <v>1.1863157894736842E-3</v>
      </c>
      <c r="M52" s="23">
        <f t="shared" si="12"/>
        <v>6894.5455778545138</v>
      </c>
      <c r="N52" s="5">
        <v>0.92979999999999996</v>
      </c>
      <c r="P52" s="1"/>
      <c r="Q52" s="1"/>
      <c r="R52" s="1"/>
      <c r="S52" s="1"/>
      <c r="T52" s="1"/>
      <c r="U52" s="1"/>
      <c r="V52" s="37"/>
      <c r="W52" s="1"/>
      <c r="X52" s="1"/>
      <c r="Y52" s="22"/>
      <c r="Z52" s="32"/>
      <c r="AA52" s="37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2:46" ht="13.8">
      <c r="B53" s="5">
        <v>20</v>
      </c>
      <c r="C53" s="5">
        <v>20</v>
      </c>
      <c r="D53" s="5">
        <v>4.5</v>
      </c>
      <c r="E53" s="5">
        <f t="shared" si="6"/>
        <v>270</v>
      </c>
      <c r="F53" s="5">
        <f t="shared" si="7"/>
        <v>0.27</v>
      </c>
      <c r="G53" s="5">
        <f t="shared" si="8"/>
        <v>7.0650000000000004</v>
      </c>
      <c r="H53" s="23">
        <f t="shared" si="9"/>
        <v>38.216560509554135</v>
      </c>
      <c r="I53" s="5">
        <f t="shared" si="10"/>
        <v>10</v>
      </c>
      <c r="J53" s="5">
        <v>0.22539999999999999</v>
      </c>
      <c r="K53" s="34">
        <v>-4.2804000000000002</v>
      </c>
      <c r="L53" s="9">
        <f t="shared" si="11"/>
        <v>1.127E-3</v>
      </c>
      <c r="M53" s="23">
        <f t="shared" si="12"/>
        <v>7257.4163977415947</v>
      </c>
      <c r="N53" s="5">
        <v>0.92979999999999996</v>
      </c>
      <c r="P53" s="1"/>
      <c r="Q53" s="1"/>
      <c r="R53" s="1"/>
      <c r="S53" s="1"/>
      <c r="T53" s="1"/>
      <c r="U53" s="1"/>
      <c r="V53" s="37"/>
      <c r="W53" s="1"/>
      <c r="X53" s="1"/>
      <c r="Y53" s="22"/>
      <c r="Z53" s="32"/>
      <c r="AA53" s="37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2:46" ht="13.8">
      <c r="B54" s="5">
        <v>21</v>
      </c>
      <c r="C54" s="5">
        <v>20</v>
      </c>
      <c r="D54" s="5">
        <v>4.5</v>
      </c>
      <c r="E54" s="5">
        <f t="shared" si="6"/>
        <v>270</v>
      </c>
      <c r="F54" s="5">
        <f t="shared" si="7"/>
        <v>0.27</v>
      </c>
      <c r="G54" s="5">
        <f t="shared" si="8"/>
        <v>7.0650000000000004</v>
      </c>
      <c r="H54" s="23">
        <f t="shared" si="9"/>
        <v>38.216560509554135</v>
      </c>
      <c r="I54" s="5">
        <f t="shared" si="10"/>
        <v>10</v>
      </c>
      <c r="J54" s="5">
        <v>0.22539999999999999</v>
      </c>
      <c r="K54" s="34">
        <v>-4.2804000000000002</v>
      </c>
      <c r="L54" s="9">
        <f t="shared" si="11"/>
        <v>1.0733333333333333E-3</v>
      </c>
      <c r="M54" s="23">
        <f t="shared" si="12"/>
        <v>7620.2872176286737</v>
      </c>
      <c r="N54" s="5">
        <v>0.92979999999999996</v>
      </c>
      <c r="P54" s="1"/>
      <c r="Q54" s="1"/>
      <c r="R54" s="1"/>
      <c r="S54" s="1"/>
      <c r="T54" s="1"/>
      <c r="U54" s="1"/>
      <c r="V54" s="37"/>
      <c r="W54" s="1"/>
      <c r="X54" s="1"/>
      <c r="Y54" s="22"/>
      <c r="Z54" s="32"/>
      <c r="AA54" s="37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2:46" ht="13.8">
      <c r="B55" s="5">
        <v>22</v>
      </c>
      <c r="C55" s="5">
        <v>20</v>
      </c>
      <c r="D55" s="5">
        <v>4.5</v>
      </c>
      <c r="E55" s="5">
        <f t="shared" si="6"/>
        <v>270</v>
      </c>
      <c r="F55" s="5">
        <f t="shared" si="7"/>
        <v>0.27</v>
      </c>
      <c r="G55" s="5">
        <f t="shared" si="8"/>
        <v>7.0650000000000004</v>
      </c>
      <c r="H55" s="23">
        <f t="shared" si="9"/>
        <v>38.216560509554135</v>
      </c>
      <c r="I55" s="5">
        <f t="shared" si="10"/>
        <v>10</v>
      </c>
      <c r="J55" s="5">
        <v>0.22539999999999999</v>
      </c>
      <c r="K55" s="34">
        <v>-4.2804000000000002</v>
      </c>
      <c r="L55" s="9">
        <f t="shared" si="11"/>
        <v>1.0245454545454544E-3</v>
      </c>
      <c r="M55" s="23">
        <f t="shared" si="12"/>
        <v>7983.1580375157546</v>
      </c>
      <c r="N55" s="5">
        <v>0.92979999999999996</v>
      </c>
      <c r="P55" s="1"/>
      <c r="Q55" s="1"/>
      <c r="R55" s="1"/>
      <c r="S55" s="1"/>
      <c r="T55" s="1"/>
      <c r="U55" s="1"/>
      <c r="V55" s="37"/>
      <c r="W55" s="1"/>
      <c r="X55" s="1"/>
      <c r="Y55" s="22"/>
      <c r="Z55" s="32"/>
      <c r="AA55" s="37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</sheetData>
  <mergeCells count="13">
    <mergeCell ref="AD20:AI20"/>
    <mergeCell ref="B27:G27"/>
    <mergeCell ref="B28:G28"/>
    <mergeCell ref="P25:U25"/>
    <mergeCell ref="B2:I2"/>
    <mergeCell ref="AD19:AI19"/>
    <mergeCell ref="P2:W2"/>
    <mergeCell ref="AD2:AK2"/>
    <mergeCell ref="B31:J31"/>
    <mergeCell ref="P31:X31"/>
    <mergeCell ref="AD21:AI21"/>
    <mergeCell ref="P23:U23"/>
    <mergeCell ref="P24:U24"/>
  </mergeCells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U1000"/>
  <sheetViews>
    <sheetView tabSelected="1" topLeftCell="Q25" zoomScale="83" zoomScaleNormal="70" workbookViewId="0">
      <selection activeCell="U30" sqref="U30"/>
    </sheetView>
  </sheetViews>
  <sheetFormatPr defaultColWidth="12.6640625" defaultRowHeight="15.75" customHeight="1"/>
  <cols>
    <col min="5" max="5" width="15.109375" customWidth="1"/>
    <col min="6" max="6" width="16.6640625" customWidth="1"/>
    <col min="20" max="20" width="15.33203125" customWidth="1"/>
    <col min="21" max="21" width="15.44140625" customWidth="1"/>
    <col min="35" max="35" width="15.6640625" customWidth="1"/>
    <col min="36" max="36" width="15.88671875" customWidth="1"/>
  </cols>
  <sheetData>
    <row r="1" spans="1:47" ht="13.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36.6" customHeight="1">
      <c r="A2" s="1"/>
      <c r="B2" s="60" t="s">
        <v>41</v>
      </c>
      <c r="C2" s="46"/>
      <c r="D2" s="46"/>
      <c r="E2" s="46"/>
      <c r="F2" s="46"/>
      <c r="G2" s="46"/>
      <c r="H2" s="1"/>
      <c r="I2" s="45"/>
      <c r="J2" s="46"/>
      <c r="K2" s="46"/>
      <c r="L2" s="46"/>
      <c r="M2" s="46"/>
      <c r="N2" s="46"/>
      <c r="O2" s="46"/>
      <c r="P2" s="46"/>
      <c r="Q2" s="60" t="s">
        <v>40</v>
      </c>
      <c r="R2" s="55"/>
      <c r="S2" s="55"/>
      <c r="T2" s="55"/>
      <c r="U2" s="55"/>
      <c r="V2" s="55"/>
      <c r="W2" s="55"/>
      <c r="X2" s="55"/>
      <c r="Y2" s="1"/>
      <c r="Z2" s="1"/>
      <c r="AA2" s="1"/>
      <c r="AB2" s="1"/>
      <c r="AC2" s="1"/>
      <c r="AD2" s="1"/>
      <c r="AE2" s="1"/>
      <c r="AF2" s="60" t="s">
        <v>42</v>
      </c>
      <c r="AG2" s="46"/>
      <c r="AH2" s="46"/>
      <c r="AI2" s="46"/>
      <c r="AJ2" s="46"/>
      <c r="AK2" s="46"/>
      <c r="AL2" s="46"/>
      <c r="AM2" s="46"/>
      <c r="AN2" s="1"/>
      <c r="AO2" s="1"/>
      <c r="AP2" s="1"/>
      <c r="AQ2" s="1"/>
      <c r="AR2" s="1"/>
      <c r="AS2" s="1"/>
      <c r="AT2" s="1"/>
      <c r="AU2" s="1"/>
    </row>
    <row r="3" spans="1:47" ht="51.6" customHeight="1">
      <c r="A3" s="1"/>
      <c r="B3" s="3" t="s">
        <v>0</v>
      </c>
      <c r="C3" s="52" t="s">
        <v>1</v>
      </c>
      <c r="D3" s="52" t="s">
        <v>2</v>
      </c>
      <c r="E3" s="52" t="s">
        <v>36</v>
      </c>
      <c r="F3" s="52" t="s">
        <v>4</v>
      </c>
      <c r="G3" s="52" t="s">
        <v>5</v>
      </c>
      <c r="H3" s="71" t="s">
        <v>45</v>
      </c>
      <c r="I3" s="3" t="s">
        <v>7</v>
      </c>
      <c r="J3" s="2"/>
      <c r="K3" s="2"/>
      <c r="L3" s="2"/>
      <c r="M3" s="2"/>
      <c r="N3" s="2"/>
      <c r="O3" s="2"/>
      <c r="P3" s="2"/>
      <c r="Q3" s="24" t="s">
        <v>0</v>
      </c>
      <c r="R3" s="53" t="s">
        <v>1</v>
      </c>
      <c r="S3" s="53" t="s">
        <v>2</v>
      </c>
      <c r="T3" s="53" t="s">
        <v>36</v>
      </c>
      <c r="U3" s="53" t="s">
        <v>43</v>
      </c>
      <c r="V3" s="53" t="s">
        <v>5</v>
      </c>
      <c r="W3" s="73" t="s">
        <v>45</v>
      </c>
      <c r="X3" s="24" t="s">
        <v>7</v>
      </c>
      <c r="Y3" s="1"/>
      <c r="Z3" s="1"/>
      <c r="AA3" s="1"/>
      <c r="AB3" s="1"/>
      <c r="AC3" s="1"/>
      <c r="AD3" s="1"/>
      <c r="AE3" s="1"/>
      <c r="AF3" s="28" t="s">
        <v>0</v>
      </c>
      <c r="AG3" s="54" t="s">
        <v>1</v>
      </c>
      <c r="AH3" s="54" t="s">
        <v>2</v>
      </c>
      <c r="AI3" s="54" t="s">
        <v>3</v>
      </c>
      <c r="AJ3" s="54" t="s">
        <v>43</v>
      </c>
      <c r="AK3" s="54" t="s">
        <v>5</v>
      </c>
      <c r="AL3" s="72" t="s">
        <v>45</v>
      </c>
      <c r="AM3" s="28" t="s">
        <v>7</v>
      </c>
      <c r="AN3" s="1"/>
      <c r="AO3" s="1"/>
      <c r="AP3" s="1"/>
      <c r="AQ3" s="1"/>
      <c r="AR3" s="1"/>
      <c r="AS3" s="1"/>
      <c r="AT3" s="1"/>
      <c r="AU3" s="1"/>
    </row>
    <row r="4" spans="1:47">
      <c r="A4" s="1"/>
      <c r="B4" s="4" t="s">
        <v>8</v>
      </c>
      <c r="C4" s="4" t="s">
        <v>9</v>
      </c>
      <c r="D4" s="4" t="s">
        <v>10</v>
      </c>
      <c r="E4" s="4" t="s">
        <v>10</v>
      </c>
      <c r="F4" s="4"/>
      <c r="G4" s="4" t="s">
        <v>11</v>
      </c>
      <c r="H4" s="4"/>
      <c r="I4" s="4"/>
      <c r="J4" s="1"/>
      <c r="K4" s="1"/>
      <c r="L4" s="1"/>
      <c r="M4" s="1"/>
      <c r="N4" s="1"/>
      <c r="O4" s="1"/>
      <c r="P4" s="1"/>
      <c r="Q4" s="25" t="s">
        <v>8</v>
      </c>
      <c r="R4" s="25" t="s">
        <v>9</v>
      </c>
      <c r="S4" s="25" t="s">
        <v>10</v>
      </c>
      <c r="T4" s="25" t="s">
        <v>10</v>
      </c>
      <c r="U4" s="25" t="s">
        <v>33</v>
      </c>
      <c r="V4" s="25" t="s">
        <v>11</v>
      </c>
      <c r="W4" s="25"/>
      <c r="X4" s="25"/>
      <c r="Y4" s="1"/>
      <c r="Z4" s="1"/>
      <c r="AA4" s="1"/>
      <c r="AB4" s="1"/>
      <c r="AC4" s="1"/>
      <c r="AD4" s="1"/>
      <c r="AE4" s="1"/>
      <c r="AF4" s="29" t="s">
        <v>8</v>
      </c>
      <c r="AG4" s="29" t="s">
        <v>9</v>
      </c>
      <c r="AH4" s="29" t="s">
        <v>10</v>
      </c>
      <c r="AI4" s="29" t="s">
        <v>10</v>
      </c>
      <c r="AJ4" s="29" t="s">
        <v>33</v>
      </c>
      <c r="AK4" s="29" t="s">
        <v>11</v>
      </c>
      <c r="AL4" s="29"/>
      <c r="AM4" s="29"/>
      <c r="AN4" s="1"/>
      <c r="AO4" s="1"/>
      <c r="AP4" s="1"/>
      <c r="AQ4" s="1"/>
      <c r="AR4" s="1"/>
      <c r="AS4" s="1"/>
      <c r="AT4" s="1"/>
      <c r="AU4" s="1"/>
    </row>
    <row r="5" spans="1:47">
      <c r="A5" s="1"/>
      <c r="B5" s="5">
        <v>1</v>
      </c>
      <c r="C5" s="5">
        <v>1</v>
      </c>
      <c r="D5" s="5">
        <v>10</v>
      </c>
      <c r="E5" s="6">
        <v>0.1232</v>
      </c>
      <c r="F5" s="38">
        <v>0.27</v>
      </c>
      <c r="G5" s="8">
        <v>0.99</v>
      </c>
      <c r="H5" s="9">
        <f>LN(E5/(D5-E5))</f>
        <v>-4.3841348005402123</v>
      </c>
      <c r="I5" s="9">
        <f t="shared" ref="I5:I26" si="0">E5/D5</f>
        <v>1.2320000000000001E-2</v>
      </c>
      <c r="J5" s="1"/>
      <c r="K5" s="1"/>
      <c r="L5" s="1"/>
      <c r="M5" s="1"/>
      <c r="N5" s="1"/>
      <c r="O5" s="1"/>
      <c r="P5" s="1"/>
      <c r="Q5" s="5">
        <v>1</v>
      </c>
      <c r="R5" s="5">
        <v>1</v>
      </c>
      <c r="S5" s="6">
        <v>15</v>
      </c>
      <c r="T5" s="6">
        <v>0.26</v>
      </c>
      <c r="U5" s="6">
        <v>0.27</v>
      </c>
      <c r="V5" s="8">
        <v>0.98</v>
      </c>
      <c r="W5" s="9">
        <f>LN(T5/(S5-T5))</f>
        <v>-4.0376385347278001</v>
      </c>
      <c r="X5" s="9">
        <f t="shared" ref="X5:X22" si="1">T5/S5</f>
        <v>1.7333333333333333E-2</v>
      </c>
      <c r="Y5" s="1"/>
      <c r="Z5" s="1"/>
      <c r="AA5" s="1"/>
      <c r="AB5" s="1"/>
      <c r="AC5" s="1"/>
      <c r="AD5" s="1"/>
      <c r="AE5" s="1"/>
      <c r="AF5" s="5">
        <v>1</v>
      </c>
      <c r="AG5" s="5">
        <v>1</v>
      </c>
      <c r="AH5" s="6">
        <v>20</v>
      </c>
      <c r="AI5" s="6">
        <v>0.34599999999999997</v>
      </c>
      <c r="AJ5" s="6">
        <v>0.27</v>
      </c>
      <c r="AK5" s="8">
        <v>0.98</v>
      </c>
      <c r="AL5" s="9">
        <f>LN(AI5/(AH5-AI5))</f>
        <v>-4.0395973838646482</v>
      </c>
      <c r="AM5" s="9">
        <f t="shared" ref="AM5:AM18" si="2">AI5/AH5</f>
        <v>1.7299999999999999E-2</v>
      </c>
      <c r="AN5" s="1"/>
      <c r="AO5" s="1"/>
      <c r="AP5" s="1"/>
      <c r="AQ5" s="1"/>
      <c r="AR5" s="1"/>
      <c r="AS5" s="1"/>
      <c r="AT5" s="1"/>
      <c r="AU5" s="1"/>
    </row>
    <row r="6" spans="1:47">
      <c r="A6" s="1"/>
      <c r="B6" s="5">
        <v>2</v>
      </c>
      <c r="C6" s="5">
        <v>2</v>
      </c>
      <c r="D6" s="5">
        <v>10</v>
      </c>
      <c r="E6" s="6">
        <v>0.22289999999999999</v>
      </c>
      <c r="F6" s="38">
        <v>0.54</v>
      </c>
      <c r="G6" s="8">
        <v>0.98</v>
      </c>
      <c r="H6" s="9">
        <f t="shared" ref="H6:H26" si="3">LN(E6/(D6-E6))</f>
        <v>-3.7810749551478668</v>
      </c>
      <c r="I6" s="9">
        <f t="shared" si="0"/>
        <v>2.2289999999999997E-2</v>
      </c>
      <c r="J6" s="1"/>
      <c r="K6" s="1"/>
      <c r="L6" s="1"/>
      <c r="M6" s="1"/>
      <c r="N6" s="1"/>
      <c r="O6" s="1"/>
      <c r="P6" s="1"/>
      <c r="Q6" s="5">
        <v>2</v>
      </c>
      <c r="R6" s="5">
        <v>2</v>
      </c>
      <c r="S6" s="6">
        <v>15</v>
      </c>
      <c r="T6" s="6">
        <v>0.501</v>
      </c>
      <c r="U6" s="6">
        <v>0.54</v>
      </c>
      <c r="V6" s="8">
        <v>0.97</v>
      </c>
      <c r="W6" s="9">
        <f t="shared" ref="W6:W22" si="4">LN(T6/(S6-T6))</f>
        <v>-3.3652288594283291</v>
      </c>
      <c r="X6" s="9">
        <f t="shared" si="1"/>
        <v>3.3399999999999999E-2</v>
      </c>
      <c r="Y6" s="1"/>
      <c r="Z6" s="1"/>
      <c r="AA6" s="1"/>
      <c r="AB6" s="1"/>
      <c r="AC6" s="1"/>
      <c r="AD6" s="1"/>
      <c r="AE6" s="1"/>
      <c r="AF6" s="5">
        <v>2</v>
      </c>
      <c r="AG6" s="5">
        <v>2</v>
      </c>
      <c r="AH6" s="6">
        <v>20</v>
      </c>
      <c r="AI6" s="6">
        <v>0.66800000000000004</v>
      </c>
      <c r="AJ6" s="6">
        <v>0.54</v>
      </c>
      <c r="AK6" s="8">
        <v>0.97</v>
      </c>
      <c r="AL6" s="9">
        <f t="shared" ref="AL6:AL18" si="5">LN(AI6/(AH6-AI6))</f>
        <v>-3.3652288594283291</v>
      </c>
      <c r="AM6" s="9">
        <f t="shared" si="2"/>
        <v>3.3399999999999999E-2</v>
      </c>
      <c r="AN6" s="1"/>
      <c r="AO6" s="1"/>
      <c r="AP6" s="1"/>
      <c r="AQ6" s="1"/>
      <c r="AR6" s="1"/>
      <c r="AS6" s="1"/>
      <c r="AT6" s="1"/>
      <c r="AU6" s="1"/>
    </row>
    <row r="7" spans="1:47">
      <c r="A7" s="1"/>
      <c r="B7" s="5">
        <v>3</v>
      </c>
      <c r="C7" s="5">
        <v>3</v>
      </c>
      <c r="D7" s="5">
        <v>10</v>
      </c>
      <c r="E7" s="6">
        <v>0.31330000000000002</v>
      </c>
      <c r="F7" s="38">
        <v>0.81</v>
      </c>
      <c r="G7" s="8">
        <v>0.97</v>
      </c>
      <c r="H7" s="9">
        <f t="shared" si="3"/>
        <v>-3.4313478916483255</v>
      </c>
      <c r="I7" s="9">
        <f t="shared" si="0"/>
        <v>3.1330000000000004E-2</v>
      </c>
      <c r="J7" s="1"/>
      <c r="K7" s="1"/>
      <c r="L7" s="1"/>
      <c r="M7" s="1"/>
      <c r="N7" s="1"/>
      <c r="O7" s="1"/>
      <c r="P7" s="1"/>
      <c r="Q7" s="5">
        <v>3</v>
      </c>
      <c r="R7" s="5">
        <v>3</v>
      </c>
      <c r="S7" s="6">
        <v>15</v>
      </c>
      <c r="T7" s="6">
        <v>0.51700000000000002</v>
      </c>
      <c r="U7" s="6">
        <v>0.81</v>
      </c>
      <c r="V7" s="8">
        <v>0.97</v>
      </c>
      <c r="W7" s="9">
        <f t="shared" si="4"/>
        <v>-3.3326879522924271</v>
      </c>
      <c r="X7" s="9">
        <f t="shared" si="1"/>
        <v>3.4466666666666666E-2</v>
      </c>
      <c r="Y7" s="1"/>
      <c r="Z7" s="1"/>
      <c r="AA7" s="1"/>
      <c r="AB7" s="1"/>
      <c r="AC7" s="1"/>
      <c r="AD7" s="1"/>
      <c r="AE7" s="1"/>
      <c r="AF7" s="10">
        <v>3</v>
      </c>
      <c r="AG7" s="10">
        <v>3</v>
      </c>
      <c r="AH7" s="11">
        <v>20</v>
      </c>
      <c r="AI7" s="11">
        <v>0.94599999999999995</v>
      </c>
      <c r="AJ7" s="11">
        <v>0.81</v>
      </c>
      <c r="AK7" s="13">
        <v>0.95</v>
      </c>
      <c r="AL7" s="9">
        <f t="shared" si="5"/>
        <v>-3.0027897632148464</v>
      </c>
      <c r="AM7" s="9">
        <f t="shared" si="2"/>
        <v>4.7299999999999995E-2</v>
      </c>
      <c r="AN7" s="1"/>
      <c r="AO7" s="1"/>
      <c r="AP7" s="1"/>
      <c r="AQ7" s="1"/>
      <c r="AR7" s="1"/>
      <c r="AS7" s="1"/>
      <c r="AT7" s="1"/>
      <c r="AU7" s="1"/>
    </row>
    <row r="8" spans="1:47">
      <c r="A8" s="1"/>
      <c r="B8" s="5">
        <v>4</v>
      </c>
      <c r="C8" s="5">
        <v>4</v>
      </c>
      <c r="D8" s="5">
        <v>10</v>
      </c>
      <c r="E8" s="6">
        <v>0.34350000000000003</v>
      </c>
      <c r="F8" s="38">
        <v>1.08</v>
      </c>
      <c r="G8" s="8">
        <v>0.97</v>
      </c>
      <c r="H8" s="9">
        <f t="shared" si="3"/>
        <v>-3.3361994310502499</v>
      </c>
      <c r="I8" s="9">
        <f t="shared" si="0"/>
        <v>3.4350000000000006E-2</v>
      </c>
      <c r="J8" s="1"/>
      <c r="K8" s="1"/>
      <c r="L8" s="1"/>
      <c r="M8" s="1"/>
      <c r="N8" s="1"/>
      <c r="O8" s="1"/>
      <c r="P8" s="1"/>
      <c r="Q8" s="5">
        <v>4</v>
      </c>
      <c r="R8" s="5">
        <v>4</v>
      </c>
      <c r="S8" s="6">
        <v>15</v>
      </c>
      <c r="T8" s="6">
        <v>0.57499999999999996</v>
      </c>
      <c r="U8" s="6">
        <v>1.08</v>
      </c>
      <c r="V8" s="8">
        <v>0.96</v>
      </c>
      <c r="W8" s="9">
        <f t="shared" si="4"/>
        <v>-3.2223480505789501</v>
      </c>
      <c r="X8" s="9">
        <f t="shared" si="1"/>
        <v>3.833333333333333E-2</v>
      </c>
      <c r="Y8" s="1"/>
      <c r="Z8" s="1"/>
      <c r="AA8" s="1"/>
      <c r="AB8" s="1"/>
      <c r="AC8" s="1"/>
      <c r="AD8" s="1"/>
      <c r="AE8" s="1"/>
      <c r="AF8" s="5">
        <v>4</v>
      </c>
      <c r="AG8" s="5">
        <v>4</v>
      </c>
      <c r="AH8" s="6">
        <v>20</v>
      </c>
      <c r="AI8" s="6">
        <v>1.1759999999999999</v>
      </c>
      <c r="AJ8" s="6">
        <v>1.08</v>
      </c>
      <c r="AK8" s="8">
        <v>0.94</v>
      </c>
      <c r="AL8" s="9">
        <f t="shared" si="5"/>
        <v>-2.7730138019486263</v>
      </c>
      <c r="AM8" s="9">
        <f t="shared" si="2"/>
        <v>5.8799999999999998E-2</v>
      </c>
      <c r="AN8" s="1"/>
      <c r="AO8" s="1"/>
      <c r="AP8" s="1"/>
      <c r="AQ8" s="1"/>
      <c r="AR8" s="1"/>
      <c r="AS8" s="1"/>
      <c r="AT8" s="1"/>
      <c r="AU8" s="1"/>
    </row>
    <row r="9" spans="1:47">
      <c r="A9" s="1"/>
      <c r="B9" s="5">
        <v>5</v>
      </c>
      <c r="C9" s="5">
        <v>5</v>
      </c>
      <c r="D9" s="5">
        <v>10</v>
      </c>
      <c r="E9" s="6">
        <v>0.29480000000000001</v>
      </c>
      <c r="F9" s="38">
        <v>1.35</v>
      </c>
      <c r="G9" s="8">
        <v>0.97</v>
      </c>
      <c r="H9" s="9">
        <f t="shared" si="3"/>
        <v>-3.4941199430096432</v>
      </c>
      <c r="I9" s="9">
        <f t="shared" si="0"/>
        <v>2.9479999999999999E-2</v>
      </c>
      <c r="J9" s="1"/>
      <c r="K9" s="1"/>
      <c r="L9" s="1"/>
      <c r="M9" s="1"/>
      <c r="N9" s="1"/>
      <c r="O9" s="1"/>
      <c r="P9" s="1"/>
      <c r="Q9" s="5">
        <v>5</v>
      </c>
      <c r="R9" s="5">
        <v>5</v>
      </c>
      <c r="S9" s="6">
        <v>15</v>
      </c>
      <c r="T9" s="6">
        <v>0.71</v>
      </c>
      <c r="U9" s="6">
        <v>1.35</v>
      </c>
      <c r="V9" s="8">
        <v>0.95</v>
      </c>
      <c r="W9" s="9">
        <f t="shared" si="4"/>
        <v>-3.002050300888552</v>
      </c>
      <c r="X9" s="9">
        <f t="shared" si="1"/>
        <v>4.7333333333333331E-2</v>
      </c>
      <c r="Y9" s="1"/>
      <c r="Z9" s="1"/>
      <c r="AA9" s="1"/>
      <c r="AB9" s="1"/>
      <c r="AC9" s="1"/>
      <c r="AD9" s="1"/>
      <c r="AE9" s="1"/>
      <c r="AF9" s="5">
        <v>5</v>
      </c>
      <c r="AG9" s="5">
        <v>5</v>
      </c>
      <c r="AH9" s="6">
        <v>20</v>
      </c>
      <c r="AI9" s="6">
        <v>2.2650000000000001</v>
      </c>
      <c r="AJ9" s="6">
        <v>1.35</v>
      </c>
      <c r="AK9" s="8">
        <v>0.89</v>
      </c>
      <c r="AL9" s="9">
        <f t="shared" si="5"/>
        <v>-2.057965329290588</v>
      </c>
      <c r="AM9" s="9">
        <f t="shared" si="2"/>
        <v>0.11325</v>
      </c>
      <c r="AN9" s="1"/>
      <c r="AO9" s="1"/>
      <c r="AP9" s="1"/>
      <c r="AQ9" s="1"/>
      <c r="AR9" s="1"/>
      <c r="AS9" s="1"/>
      <c r="AT9" s="1"/>
      <c r="AU9" s="1"/>
    </row>
    <row r="10" spans="1:47">
      <c r="A10" s="1"/>
      <c r="B10" s="5">
        <v>6</v>
      </c>
      <c r="C10" s="5">
        <v>6</v>
      </c>
      <c r="D10" s="5">
        <v>10</v>
      </c>
      <c r="E10" s="6">
        <v>0.35970000000000002</v>
      </c>
      <c r="F10" s="38">
        <v>1.62</v>
      </c>
      <c r="G10" s="8">
        <v>0.96</v>
      </c>
      <c r="H10" s="9">
        <f t="shared" si="3"/>
        <v>-3.2884371567507356</v>
      </c>
      <c r="I10" s="9">
        <f t="shared" si="0"/>
        <v>3.5970000000000002E-2</v>
      </c>
      <c r="J10" s="1"/>
      <c r="K10" s="1"/>
      <c r="L10" s="1"/>
      <c r="M10" s="1"/>
      <c r="N10" s="1"/>
      <c r="O10" s="1"/>
      <c r="P10" s="1"/>
      <c r="Q10" s="10">
        <v>6</v>
      </c>
      <c r="R10" s="10">
        <v>6</v>
      </c>
      <c r="S10" s="11">
        <v>15</v>
      </c>
      <c r="T10" s="11">
        <v>0.88200000000000001</v>
      </c>
      <c r="U10" s="11">
        <v>1.62</v>
      </c>
      <c r="V10" s="13">
        <v>0.94</v>
      </c>
      <c r="W10" s="9">
        <f t="shared" si="4"/>
        <v>-2.7730138019486263</v>
      </c>
      <c r="X10" s="9">
        <f t="shared" si="1"/>
        <v>5.8799999999999998E-2</v>
      </c>
      <c r="Y10" s="1"/>
      <c r="Z10" s="1"/>
      <c r="AA10" s="1"/>
      <c r="AB10" s="1"/>
      <c r="AC10" s="1"/>
      <c r="AD10" s="1"/>
      <c r="AE10" s="1"/>
      <c r="AF10" s="5">
        <v>6</v>
      </c>
      <c r="AG10" s="5">
        <v>6</v>
      </c>
      <c r="AH10" s="6">
        <v>20</v>
      </c>
      <c r="AI10" s="6">
        <v>3.6379999999999999</v>
      </c>
      <c r="AJ10" s="6">
        <v>1.62</v>
      </c>
      <c r="AK10" s="8">
        <v>0.82</v>
      </c>
      <c r="AL10" s="9">
        <f t="shared" si="5"/>
        <v>-1.503527492995576</v>
      </c>
      <c r="AM10" s="9">
        <f t="shared" si="2"/>
        <v>0.18190000000000001</v>
      </c>
      <c r="AN10" s="1"/>
      <c r="AO10" s="1"/>
      <c r="AP10" s="1"/>
      <c r="AQ10" s="1"/>
      <c r="AR10" s="1"/>
      <c r="AS10" s="1"/>
      <c r="AT10" s="1"/>
      <c r="AU10" s="1"/>
    </row>
    <row r="11" spans="1:47">
      <c r="A11" s="1"/>
      <c r="B11" s="5">
        <v>7</v>
      </c>
      <c r="C11" s="5">
        <v>7</v>
      </c>
      <c r="D11" s="5">
        <v>10</v>
      </c>
      <c r="E11" s="6">
        <v>0.42230000000000001</v>
      </c>
      <c r="F11" s="38">
        <v>1.89</v>
      </c>
      <c r="G11" s="8">
        <v>0.96</v>
      </c>
      <c r="H11" s="9">
        <f t="shared" si="3"/>
        <v>-3.1214767966930426</v>
      </c>
      <c r="I11" s="9">
        <f t="shared" si="0"/>
        <v>4.2230000000000004E-2</v>
      </c>
      <c r="J11" s="1"/>
      <c r="K11" s="1"/>
      <c r="L11" s="1"/>
      <c r="M11" s="1"/>
      <c r="N11" s="1"/>
      <c r="O11" s="1"/>
      <c r="P11" s="1"/>
      <c r="Q11" s="5">
        <v>7</v>
      </c>
      <c r="R11" s="5">
        <v>7</v>
      </c>
      <c r="S11" s="6">
        <v>15</v>
      </c>
      <c r="T11" s="6">
        <v>1.6990000000000001</v>
      </c>
      <c r="U11" s="6">
        <v>1.89</v>
      </c>
      <c r="V11" s="8">
        <v>0.89</v>
      </c>
      <c r="W11" s="9">
        <f t="shared" si="4"/>
        <v>-2.0577993776813641</v>
      </c>
      <c r="X11" s="9">
        <f t="shared" si="1"/>
        <v>0.11326666666666667</v>
      </c>
      <c r="Y11" s="1"/>
      <c r="Z11" s="1"/>
      <c r="AA11" s="1"/>
      <c r="AB11" s="1"/>
      <c r="AC11" s="1"/>
      <c r="AD11" s="1"/>
      <c r="AE11" s="1"/>
      <c r="AF11" s="5">
        <v>7</v>
      </c>
      <c r="AG11" s="5">
        <v>7</v>
      </c>
      <c r="AH11" s="6">
        <v>20</v>
      </c>
      <c r="AI11" s="6">
        <v>5.4930000000000003</v>
      </c>
      <c r="AJ11" s="6">
        <v>1.89</v>
      </c>
      <c r="AK11" s="8">
        <v>0.73</v>
      </c>
      <c r="AL11" s="9">
        <f t="shared" si="5"/>
        <v>-0.97115673719628159</v>
      </c>
      <c r="AM11" s="9">
        <f t="shared" si="2"/>
        <v>0.27465000000000001</v>
      </c>
      <c r="AN11" s="1"/>
      <c r="AO11" s="1"/>
      <c r="AP11" s="1"/>
      <c r="AQ11" s="1"/>
      <c r="AR11" s="1"/>
      <c r="AS11" s="1"/>
      <c r="AT11" s="1"/>
      <c r="AU11" s="1"/>
    </row>
    <row r="12" spans="1:47" ht="13.8">
      <c r="A12" s="1"/>
      <c r="B12" s="5">
        <v>8</v>
      </c>
      <c r="C12" s="5">
        <v>8</v>
      </c>
      <c r="D12" s="5">
        <v>10</v>
      </c>
      <c r="E12" s="6">
        <v>0.48259999999999997</v>
      </c>
      <c r="F12" s="38">
        <v>2.16</v>
      </c>
      <c r="G12" s="8">
        <v>0.95</v>
      </c>
      <c r="H12" s="9">
        <f t="shared" si="3"/>
        <v>-2.981688828049661</v>
      </c>
      <c r="I12" s="9">
        <f t="shared" si="0"/>
        <v>4.8259999999999997E-2</v>
      </c>
      <c r="J12" s="1"/>
      <c r="K12" s="1"/>
      <c r="L12" s="1"/>
      <c r="M12" s="1"/>
      <c r="N12" s="1"/>
      <c r="O12" s="1"/>
      <c r="P12" s="1"/>
      <c r="Q12" s="5">
        <v>8</v>
      </c>
      <c r="R12" s="5">
        <v>8</v>
      </c>
      <c r="S12" s="6">
        <v>15</v>
      </c>
      <c r="T12" s="6">
        <v>2.7290000000000001</v>
      </c>
      <c r="U12" s="6">
        <v>2.16</v>
      </c>
      <c r="V12" s="8">
        <v>0.82</v>
      </c>
      <c r="W12" s="9">
        <f t="shared" si="4"/>
        <v>-1.5033035132682093</v>
      </c>
      <c r="X12" s="9">
        <f t="shared" si="1"/>
        <v>0.18193333333333334</v>
      </c>
      <c r="Y12" s="1"/>
      <c r="Z12" s="1"/>
      <c r="AA12" s="1"/>
      <c r="AB12" s="1"/>
      <c r="AC12" s="1"/>
      <c r="AD12" s="1"/>
      <c r="AE12" s="1"/>
      <c r="AF12" s="5">
        <v>8</v>
      </c>
      <c r="AG12" s="5">
        <v>8</v>
      </c>
      <c r="AH12" s="6">
        <v>20</v>
      </c>
      <c r="AI12" s="6">
        <v>5.5679999999999996</v>
      </c>
      <c r="AJ12" s="6">
        <v>2.16</v>
      </c>
      <c r="AK12" s="8">
        <v>0.72</v>
      </c>
      <c r="AL12" s="9">
        <f t="shared" si="5"/>
        <v>-0.95241204028814952</v>
      </c>
      <c r="AM12" s="9">
        <f t="shared" si="2"/>
        <v>0.27839999999999998</v>
      </c>
      <c r="AN12" s="1"/>
      <c r="AO12" s="1"/>
      <c r="AP12" s="1"/>
      <c r="AQ12" s="1"/>
      <c r="AR12" s="1"/>
      <c r="AS12" s="1"/>
      <c r="AT12" s="1"/>
      <c r="AU12" s="1"/>
    </row>
    <row r="13" spans="1:47" ht="13.8">
      <c r="A13" s="1"/>
      <c r="B13" s="10">
        <v>9</v>
      </c>
      <c r="C13" s="10">
        <v>9</v>
      </c>
      <c r="D13" s="10">
        <v>10</v>
      </c>
      <c r="E13" s="11">
        <v>1.3373999999999999</v>
      </c>
      <c r="F13" s="39">
        <v>2.4300000000000002</v>
      </c>
      <c r="G13" s="13">
        <v>0.87</v>
      </c>
      <c r="H13" s="61">
        <f t="shared" si="3"/>
        <v>-1.868287477823193</v>
      </c>
      <c r="I13" s="14">
        <f t="shared" si="0"/>
        <v>0.13374</v>
      </c>
      <c r="J13" s="1"/>
      <c r="K13" s="1"/>
      <c r="L13" s="1"/>
      <c r="M13" s="1"/>
      <c r="N13" s="1"/>
      <c r="O13" s="1"/>
      <c r="P13" s="1"/>
      <c r="Q13" s="5">
        <v>9</v>
      </c>
      <c r="R13" s="5">
        <v>9</v>
      </c>
      <c r="S13" s="6">
        <v>15</v>
      </c>
      <c r="T13" s="6">
        <v>4.12</v>
      </c>
      <c r="U13" s="6">
        <v>2.4300000000000002</v>
      </c>
      <c r="V13" s="8">
        <v>0.73</v>
      </c>
      <c r="W13" s="9">
        <f t="shared" si="4"/>
        <v>-0.97107307806636145</v>
      </c>
      <c r="X13" s="9">
        <f t="shared" si="1"/>
        <v>0.27466666666666667</v>
      </c>
      <c r="Y13" s="1"/>
      <c r="Z13" s="1"/>
      <c r="AA13" s="1"/>
      <c r="AB13" s="1"/>
      <c r="AC13" s="1"/>
      <c r="AD13" s="1"/>
      <c r="AE13" s="1"/>
      <c r="AF13" s="5">
        <v>9</v>
      </c>
      <c r="AG13" s="5">
        <v>9</v>
      </c>
      <c r="AH13" s="6">
        <v>20</v>
      </c>
      <c r="AI13" s="6">
        <v>8.24</v>
      </c>
      <c r="AJ13" s="6">
        <v>2.4300000000000002</v>
      </c>
      <c r="AK13" s="8">
        <v>0.59</v>
      </c>
      <c r="AL13" s="9">
        <f t="shared" si="5"/>
        <v>-0.35570359854910055</v>
      </c>
      <c r="AM13" s="9">
        <f t="shared" si="2"/>
        <v>0.41200000000000003</v>
      </c>
      <c r="AN13" s="1"/>
      <c r="AO13" s="1"/>
      <c r="AP13" s="1"/>
      <c r="AQ13" s="1"/>
      <c r="AR13" s="1"/>
      <c r="AS13" s="1"/>
      <c r="AT13" s="1"/>
      <c r="AU13" s="1"/>
    </row>
    <row r="14" spans="1:47" ht="15.75" customHeight="1">
      <c r="A14" s="1"/>
      <c r="B14" s="5">
        <v>10</v>
      </c>
      <c r="C14" s="5">
        <v>10</v>
      </c>
      <c r="D14" s="5">
        <v>10</v>
      </c>
      <c r="E14" s="6">
        <v>2.0053000000000001</v>
      </c>
      <c r="F14" s="38">
        <v>2.7</v>
      </c>
      <c r="G14" s="8">
        <v>0.8</v>
      </c>
      <c r="H14" s="9">
        <f t="shared" si="3"/>
        <v>-1.3829851466288867</v>
      </c>
      <c r="I14" s="9">
        <f t="shared" si="0"/>
        <v>0.20053000000000001</v>
      </c>
      <c r="J14" s="1"/>
      <c r="K14" s="1"/>
      <c r="L14" s="1"/>
      <c r="M14" s="1"/>
      <c r="N14" s="1"/>
      <c r="O14" s="1"/>
      <c r="P14" s="1"/>
      <c r="Q14" s="5">
        <v>10</v>
      </c>
      <c r="R14" s="5">
        <v>10</v>
      </c>
      <c r="S14" s="6">
        <v>15</v>
      </c>
      <c r="T14" s="6">
        <v>4.1760000000000002</v>
      </c>
      <c r="U14" s="6">
        <v>2.7</v>
      </c>
      <c r="V14" s="8">
        <v>0.72</v>
      </c>
      <c r="W14" s="9">
        <f t="shared" si="4"/>
        <v>-0.9524120402881493</v>
      </c>
      <c r="X14" s="9">
        <f t="shared" si="1"/>
        <v>0.27840000000000004</v>
      </c>
      <c r="Y14" s="1"/>
      <c r="Z14" s="1"/>
      <c r="AA14" s="1"/>
      <c r="AB14" s="1"/>
      <c r="AC14" s="1"/>
      <c r="AD14" s="1"/>
      <c r="AE14" s="1"/>
      <c r="AF14" s="5">
        <v>10</v>
      </c>
      <c r="AG14" s="5">
        <v>10</v>
      </c>
      <c r="AH14" s="6">
        <v>20</v>
      </c>
      <c r="AI14" s="6">
        <v>11.728</v>
      </c>
      <c r="AJ14" s="6">
        <v>2.7</v>
      </c>
      <c r="AK14" s="8">
        <v>0.41</v>
      </c>
      <c r="AL14" s="9">
        <f t="shared" si="5"/>
        <v>0.34910282737822235</v>
      </c>
      <c r="AM14" s="9">
        <f t="shared" si="2"/>
        <v>0.58640000000000003</v>
      </c>
      <c r="AN14" s="1"/>
      <c r="AO14" s="1"/>
      <c r="AP14" s="1"/>
      <c r="AQ14" s="1"/>
      <c r="AR14" s="1"/>
      <c r="AS14" s="1"/>
      <c r="AT14" s="1"/>
      <c r="AU14" s="1"/>
    </row>
    <row r="15" spans="1:47" ht="13.8">
      <c r="A15" s="1"/>
      <c r="B15" s="5">
        <v>11</v>
      </c>
      <c r="C15" s="5">
        <v>11</v>
      </c>
      <c r="D15" s="5">
        <v>10</v>
      </c>
      <c r="E15" s="6">
        <v>3.4662999999999999</v>
      </c>
      <c r="F15" s="38">
        <v>2.97</v>
      </c>
      <c r="G15" s="8">
        <v>0.65</v>
      </c>
      <c r="H15" s="9">
        <f t="shared" si="3"/>
        <v>-0.63388565578804723</v>
      </c>
      <c r="I15" s="9">
        <f t="shared" si="0"/>
        <v>0.34662999999999999</v>
      </c>
      <c r="J15" s="1"/>
      <c r="K15" s="1"/>
      <c r="L15" s="1"/>
      <c r="M15" s="1"/>
      <c r="N15" s="1"/>
      <c r="O15" s="1"/>
      <c r="P15" s="1"/>
      <c r="Q15" s="5">
        <v>11</v>
      </c>
      <c r="R15" s="5">
        <v>11</v>
      </c>
      <c r="S15" s="6">
        <v>15</v>
      </c>
      <c r="T15" s="6">
        <v>6.18</v>
      </c>
      <c r="U15" s="6">
        <v>2.97</v>
      </c>
      <c r="V15" s="8">
        <v>0.59</v>
      </c>
      <c r="W15" s="9">
        <f t="shared" si="4"/>
        <v>-0.35570359854910066</v>
      </c>
      <c r="X15" s="9">
        <f t="shared" si="1"/>
        <v>0.41199999999999998</v>
      </c>
      <c r="Y15" s="1"/>
      <c r="Z15" s="1"/>
      <c r="AA15" s="1"/>
      <c r="AB15" s="1"/>
      <c r="AC15" s="1"/>
      <c r="AD15" s="1"/>
      <c r="AE15" s="1"/>
      <c r="AF15" s="5">
        <v>11</v>
      </c>
      <c r="AG15" s="5">
        <v>11</v>
      </c>
      <c r="AH15" s="6">
        <v>20</v>
      </c>
      <c r="AI15" s="6">
        <v>14.752000000000001</v>
      </c>
      <c r="AJ15" s="6">
        <v>2.97</v>
      </c>
      <c r="AK15" s="8">
        <v>0.26</v>
      </c>
      <c r="AL15" s="9">
        <f t="shared" si="5"/>
        <v>1.0335316151724503</v>
      </c>
      <c r="AM15" s="9">
        <f t="shared" si="2"/>
        <v>0.73760000000000003</v>
      </c>
      <c r="AN15" s="1"/>
      <c r="AO15" s="1"/>
      <c r="AP15" s="1"/>
      <c r="AQ15" s="1"/>
      <c r="AR15" s="1"/>
      <c r="AS15" s="1"/>
      <c r="AT15" s="1"/>
      <c r="AU15" s="1"/>
    </row>
    <row r="16" spans="1:47">
      <c r="A16" s="1"/>
      <c r="B16" s="5">
        <v>12</v>
      </c>
      <c r="C16" s="5">
        <v>12</v>
      </c>
      <c r="D16" s="5">
        <v>10</v>
      </c>
      <c r="E16" s="6">
        <v>3.1463000000000001</v>
      </c>
      <c r="F16" s="38">
        <v>3.24</v>
      </c>
      <c r="G16" s="8">
        <v>0.69</v>
      </c>
      <c r="H16" s="9">
        <f t="shared" si="3"/>
        <v>-0.77856149315724577</v>
      </c>
      <c r="I16" s="9">
        <f t="shared" si="0"/>
        <v>0.31463000000000002</v>
      </c>
      <c r="J16" s="1"/>
      <c r="K16" s="1"/>
      <c r="L16" s="1"/>
      <c r="M16" s="1"/>
      <c r="N16" s="1"/>
      <c r="O16" s="1"/>
      <c r="P16" s="1"/>
      <c r="Q16" s="5">
        <v>12</v>
      </c>
      <c r="R16" s="5">
        <v>12</v>
      </c>
      <c r="S16" s="6">
        <v>15</v>
      </c>
      <c r="T16" s="6">
        <v>7.33</v>
      </c>
      <c r="U16" s="6">
        <v>3.24</v>
      </c>
      <c r="V16" s="8">
        <v>0.51</v>
      </c>
      <c r="W16" s="9">
        <f t="shared" si="4"/>
        <v>-4.5341099480604705E-2</v>
      </c>
      <c r="X16" s="9">
        <f t="shared" si="1"/>
        <v>0.48866666666666669</v>
      </c>
      <c r="Y16" s="1"/>
      <c r="Z16" s="1"/>
      <c r="AA16" s="1"/>
      <c r="AB16" s="1"/>
      <c r="AC16" s="1"/>
      <c r="AD16" s="1"/>
      <c r="AE16" s="1"/>
      <c r="AF16" s="5">
        <v>12</v>
      </c>
      <c r="AG16" s="5">
        <v>12</v>
      </c>
      <c r="AH16" s="6">
        <v>20</v>
      </c>
      <c r="AI16" s="6">
        <v>18.216000000000001</v>
      </c>
      <c r="AJ16" s="6">
        <v>3.24</v>
      </c>
      <c r="AK16" s="8">
        <v>0.09</v>
      </c>
      <c r="AL16" s="9">
        <f t="shared" si="5"/>
        <v>2.3234422946036215</v>
      </c>
      <c r="AM16" s="9">
        <f t="shared" si="2"/>
        <v>0.91080000000000005</v>
      </c>
      <c r="AN16" s="1"/>
      <c r="AO16" s="1"/>
      <c r="AP16" s="1"/>
      <c r="AQ16" s="1"/>
      <c r="AR16" s="1"/>
      <c r="AS16" s="1"/>
      <c r="AT16" s="1"/>
      <c r="AU16" s="1"/>
    </row>
    <row r="17" spans="1:47">
      <c r="A17" s="1"/>
      <c r="B17" s="5">
        <v>13</v>
      </c>
      <c r="C17" s="5">
        <v>13</v>
      </c>
      <c r="D17" s="5">
        <v>10</v>
      </c>
      <c r="E17" s="6">
        <v>3.2019000000000002</v>
      </c>
      <c r="F17" s="38">
        <v>3.51</v>
      </c>
      <c r="G17" s="8">
        <v>0.68</v>
      </c>
      <c r="H17" s="9">
        <f t="shared" si="3"/>
        <v>-0.75289877776872316</v>
      </c>
      <c r="I17" s="9">
        <f t="shared" si="0"/>
        <v>0.32019000000000003</v>
      </c>
      <c r="J17" s="1"/>
      <c r="K17" s="1"/>
      <c r="L17" s="1"/>
      <c r="M17" s="1"/>
      <c r="N17" s="1"/>
      <c r="O17" s="1"/>
      <c r="P17" s="1"/>
      <c r="Q17" s="5">
        <v>13</v>
      </c>
      <c r="R17" s="5">
        <v>13</v>
      </c>
      <c r="S17" s="6">
        <v>15</v>
      </c>
      <c r="T17" s="6">
        <v>8.7959999999999994</v>
      </c>
      <c r="U17" s="6">
        <v>3.51</v>
      </c>
      <c r="V17" s="8">
        <v>0.41</v>
      </c>
      <c r="W17" s="9">
        <f t="shared" si="4"/>
        <v>0.34910282737822218</v>
      </c>
      <c r="X17" s="9">
        <f t="shared" si="1"/>
        <v>0.58639999999999992</v>
      </c>
      <c r="Y17" s="1"/>
      <c r="Z17" s="1"/>
      <c r="AA17" s="1"/>
      <c r="AB17" s="1"/>
      <c r="AC17" s="1"/>
      <c r="AD17" s="1"/>
      <c r="AE17" s="1"/>
      <c r="AF17" s="5">
        <v>13</v>
      </c>
      <c r="AG17" s="5">
        <v>13</v>
      </c>
      <c r="AH17" s="6">
        <v>20</v>
      </c>
      <c r="AI17" s="6">
        <v>18.957000000000001</v>
      </c>
      <c r="AJ17" s="6">
        <v>3.51</v>
      </c>
      <c r="AK17" s="8">
        <v>0.05</v>
      </c>
      <c r="AL17" s="9">
        <f t="shared" si="5"/>
        <v>2.9000720804407933</v>
      </c>
      <c r="AM17" s="9">
        <f t="shared" si="2"/>
        <v>0.94785000000000008</v>
      </c>
      <c r="AN17" s="1"/>
      <c r="AO17" s="1"/>
      <c r="AP17" s="1"/>
      <c r="AQ17" s="1"/>
      <c r="AR17" s="1"/>
      <c r="AS17" s="1"/>
      <c r="AT17" s="1"/>
      <c r="AU17" s="1"/>
    </row>
    <row r="18" spans="1:47">
      <c r="A18" s="1"/>
      <c r="B18" s="5">
        <v>14</v>
      </c>
      <c r="C18" s="5">
        <v>14</v>
      </c>
      <c r="D18" s="5">
        <v>10</v>
      </c>
      <c r="E18" s="6">
        <v>5.1916000000000002</v>
      </c>
      <c r="F18" s="38">
        <v>3.78</v>
      </c>
      <c r="G18" s="8">
        <v>0.48</v>
      </c>
      <c r="H18" s="9">
        <f t="shared" si="3"/>
        <v>7.6677546383504713E-2</v>
      </c>
      <c r="I18" s="9">
        <f t="shared" si="0"/>
        <v>0.51916000000000007</v>
      </c>
      <c r="J18" s="1"/>
      <c r="K18" s="1"/>
      <c r="L18" s="1"/>
      <c r="M18" s="1"/>
      <c r="N18" s="1"/>
      <c r="O18" s="1"/>
      <c r="P18" s="1"/>
      <c r="Q18" s="5">
        <v>14</v>
      </c>
      <c r="R18" s="5">
        <v>14</v>
      </c>
      <c r="S18" s="6">
        <v>15</v>
      </c>
      <c r="T18" s="6">
        <v>11.064</v>
      </c>
      <c r="U18" s="6">
        <v>3.78</v>
      </c>
      <c r="V18" s="8">
        <v>0.26</v>
      </c>
      <c r="W18" s="9">
        <f t="shared" si="4"/>
        <v>1.0335316151724501</v>
      </c>
      <c r="X18" s="9">
        <f t="shared" si="1"/>
        <v>0.73760000000000003</v>
      </c>
      <c r="Y18" s="1"/>
      <c r="Z18" s="1"/>
      <c r="AA18" s="1"/>
      <c r="AB18" s="1"/>
      <c r="AC18" s="1"/>
      <c r="AD18" s="1"/>
      <c r="AE18" s="1"/>
      <c r="AF18" s="15">
        <v>14</v>
      </c>
      <c r="AG18" s="15">
        <v>14</v>
      </c>
      <c r="AH18" s="16">
        <v>20</v>
      </c>
      <c r="AI18" s="16">
        <v>19.175000000000001</v>
      </c>
      <c r="AJ18" s="16">
        <v>3.78</v>
      </c>
      <c r="AK18" s="18">
        <v>0.04</v>
      </c>
      <c r="AL18" s="9">
        <f t="shared" si="5"/>
        <v>3.1459792399007767</v>
      </c>
      <c r="AM18" s="9">
        <f t="shared" si="2"/>
        <v>0.95874999999999999</v>
      </c>
      <c r="AN18" s="1"/>
      <c r="AO18" s="1"/>
      <c r="AP18" s="1"/>
      <c r="AQ18" s="1"/>
      <c r="AR18" s="1"/>
      <c r="AS18" s="1"/>
      <c r="AT18" s="1"/>
      <c r="AU18" s="1"/>
    </row>
    <row r="19" spans="1:47">
      <c r="A19" s="1"/>
      <c r="B19" s="5">
        <v>15</v>
      </c>
      <c r="C19" s="5">
        <v>15</v>
      </c>
      <c r="D19" s="5">
        <v>10</v>
      </c>
      <c r="E19" s="6">
        <v>6.1933999999999996</v>
      </c>
      <c r="F19" s="38">
        <v>4.05</v>
      </c>
      <c r="G19" s="8">
        <v>0.38</v>
      </c>
      <c r="H19" s="9">
        <f t="shared" si="3"/>
        <v>0.48674780665074968</v>
      </c>
      <c r="I19" s="9">
        <f t="shared" si="0"/>
        <v>0.61934</v>
      </c>
      <c r="J19" s="1"/>
      <c r="K19" s="1"/>
      <c r="L19" s="1"/>
      <c r="M19" s="1"/>
      <c r="N19" s="1"/>
      <c r="O19" s="1"/>
      <c r="P19" s="1"/>
      <c r="Q19" s="5">
        <v>15</v>
      </c>
      <c r="R19" s="5">
        <v>15</v>
      </c>
      <c r="S19" s="6">
        <v>15</v>
      </c>
      <c r="T19" s="6">
        <v>13.662000000000001</v>
      </c>
      <c r="U19" s="6">
        <v>4.05</v>
      </c>
      <c r="V19" s="8">
        <v>0.09</v>
      </c>
      <c r="W19" s="9">
        <f t="shared" si="4"/>
        <v>2.3234422946036215</v>
      </c>
      <c r="X19" s="9">
        <f t="shared" si="1"/>
        <v>0.91080000000000005</v>
      </c>
      <c r="Y19" s="1"/>
      <c r="Z19" s="1"/>
      <c r="AA19" s="1"/>
      <c r="AB19" s="1"/>
      <c r="AC19" s="1"/>
      <c r="AD19" s="1"/>
      <c r="AE19" s="1"/>
      <c r="AF19" s="47" t="s">
        <v>12</v>
      </c>
      <c r="AG19" s="46"/>
      <c r="AH19" s="46"/>
      <c r="AI19" s="46"/>
      <c r="AJ19" s="46"/>
      <c r="AK19" s="46"/>
      <c r="AL19" s="32"/>
      <c r="AM19" s="32"/>
      <c r="AN19" s="1"/>
      <c r="AO19" s="1"/>
      <c r="AP19" s="1"/>
      <c r="AQ19" s="1"/>
      <c r="AR19" s="1"/>
      <c r="AS19" s="1"/>
      <c r="AT19" s="1"/>
      <c r="AU19" s="1"/>
    </row>
    <row r="20" spans="1:47">
      <c r="A20" s="1"/>
      <c r="B20" s="5">
        <v>16</v>
      </c>
      <c r="C20" s="5">
        <v>16</v>
      </c>
      <c r="D20" s="5">
        <v>10</v>
      </c>
      <c r="E20" s="6">
        <v>6.9031000000000002</v>
      </c>
      <c r="F20" s="38">
        <v>4.32</v>
      </c>
      <c r="G20" s="8">
        <v>0.31</v>
      </c>
      <c r="H20" s="9">
        <f t="shared" si="3"/>
        <v>0.80156897491405832</v>
      </c>
      <c r="I20" s="9">
        <f t="shared" si="0"/>
        <v>0.69030999999999998</v>
      </c>
      <c r="J20" s="1"/>
      <c r="K20" s="1"/>
      <c r="L20" s="1"/>
      <c r="M20" s="1"/>
      <c r="N20" s="1"/>
      <c r="O20" s="1"/>
      <c r="P20" s="1"/>
      <c r="Q20" s="5">
        <v>16</v>
      </c>
      <c r="R20" s="5">
        <v>16</v>
      </c>
      <c r="S20" s="6">
        <v>15</v>
      </c>
      <c r="T20" s="6">
        <v>14.218</v>
      </c>
      <c r="U20" s="6">
        <v>4.32</v>
      </c>
      <c r="V20" s="8">
        <v>0.05</v>
      </c>
      <c r="W20" s="9">
        <f t="shared" si="4"/>
        <v>2.9004093059441174</v>
      </c>
      <c r="X20" s="9">
        <f t="shared" si="1"/>
        <v>0.94786666666666664</v>
      </c>
      <c r="Y20" s="1"/>
      <c r="Z20" s="1"/>
      <c r="AA20" s="1"/>
      <c r="AB20" s="1"/>
      <c r="AC20" s="1"/>
      <c r="AD20" s="1"/>
      <c r="AE20" s="1"/>
      <c r="AF20" s="48" t="s">
        <v>13</v>
      </c>
      <c r="AG20" s="46"/>
      <c r="AH20" s="46"/>
      <c r="AI20" s="46"/>
      <c r="AJ20" s="46"/>
      <c r="AK20" s="46"/>
      <c r="AL20" s="32"/>
      <c r="AM20" s="32"/>
      <c r="AN20" s="1"/>
      <c r="AO20" s="1"/>
      <c r="AP20" s="1"/>
      <c r="AQ20" s="1"/>
      <c r="AR20" s="1"/>
      <c r="AS20" s="1"/>
      <c r="AT20" s="1"/>
      <c r="AU20" s="1"/>
    </row>
    <row r="21" spans="1:47">
      <c r="A21" s="1"/>
      <c r="B21" s="5">
        <v>17</v>
      </c>
      <c r="C21" s="5">
        <v>17</v>
      </c>
      <c r="D21" s="5">
        <v>10</v>
      </c>
      <c r="E21" s="6">
        <v>8.0997000000000003</v>
      </c>
      <c r="F21" s="38">
        <v>4.59</v>
      </c>
      <c r="G21" s="8">
        <v>0.19</v>
      </c>
      <c r="H21" s="9">
        <f t="shared" si="3"/>
        <v>1.4498152555102932</v>
      </c>
      <c r="I21" s="9">
        <f t="shared" si="0"/>
        <v>0.80997000000000008</v>
      </c>
      <c r="J21" s="1"/>
      <c r="K21" s="1"/>
      <c r="L21" s="1"/>
      <c r="M21" s="1"/>
      <c r="N21" s="1"/>
      <c r="O21" s="1"/>
      <c r="P21" s="1"/>
      <c r="Q21" s="5">
        <v>17</v>
      </c>
      <c r="R21" s="5">
        <v>17</v>
      </c>
      <c r="S21" s="6">
        <v>15</v>
      </c>
      <c r="T21" s="6">
        <v>14.055999999999999</v>
      </c>
      <c r="U21" s="6">
        <v>4.59</v>
      </c>
      <c r="V21" s="8">
        <v>0.06</v>
      </c>
      <c r="W21" s="9">
        <f t="shared" si="4"/>
        <v>2.7006784637214314</v>
      </c>
      <c r="X21" s="9">
        <f t="shared" si="1"/>
        <v>0.9370666666666666</v>
      </c>
      <c r="Y21" s="1"/>
      <c r="Z21" s="1"/>
      <c r="AA21" s="1"/>
      <c r="AB21" s="1"/>
      <c r="AC21" s="1"/>
      <c r="AD21" s="1"/>
      <c r="AE21" s="1"/>
      <c r="AF21" s="77"/>
      <c r="AG21" s="78"/>
      <c r="AH21" s="78"/>
      <c r="AI21" s="78"/>
      <c r="AJ21" s="78"/>
      <c r="AK21" s="78"/>
      <c r="AL21" s="32"/>
      <c r="AM21" s="32"/>
      <c r="AN21" s="1"/>
      <c r="AO21" s="1"/>
      <c r="AP21" s="1"/>
      <c r="AQ21" s="1"/>
      <c r="AR21" s="1"/>
      <c r="AS21" s="1"/>
      <c r="AT21" s="1"/>
      <c r="AU21" s="1"/>
    </row>
    <row r="22" spans="1:47">
      <c r="A22" s="1"/>
      <c r="B22" s="5">
        <v>18</v>
      </c>
      <c r="C22" s="5">
        <v>18</v>
      </c>
      <c r="D22" s="5">
        <v>10</v>
      </c>
      <c r="E22" s="6">
        <v>8.5449000000000002</v>
      </c>
      <c r="F22" s="38">
        <v>4.8600000000000003</v>
      </c>
      <c r="G22" s="8">
        <v>0.15</v>
      </c>
      <c r="H22" s="9">
        <f t="shared" si="3"/>
        <v>1.7702599869648343</v>
      </c>
      <c r="I22" s="9">
        <f t="shared" si="0"/>
        <v>0.85448999999999997</v>
      </c>
      <c r="J22" s="1"/>
      <c r="K22" s="1"/>
      <c r="L22" s="1"/>
      <c r="M22" s="1"/>
      <c r="N22" s="1"/>
      <c r="O22" s="1"/>
      <c r="P22" s="1"/>
      <c r="Q22" s="15">
        <v>18</v>
      </c>
      <c r="R22" s="15">
        <v>18</v>
      </c>
      <c r="S22" s="16">
        <v>15</v>
      </c>
      <c r="T22" s="16">
        <v>14.381</v>
      </c>
      <c r="U22" s="16">
        <v>4.8600000000000003</v>
      </c>
      <c r="V22" s="18">
        <v>0.04</v>
      </c>
      <c r="W22" s="9">
        <f t="shared" si="4"/>
        <v>3.1455578972017841</v>
      </c>
      <c r="X22" s="9">
        <f t="shared" si="1"/>
        <v>0.95873333333333333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>
      <c r="A23" s="1"/>
      <c r="B23" s="5">
        <v>19</v>
      </c>
      <c r="C23" s="5">
        <v>19</v>
      </c>
      <c r="D23" s="5">
        <v>10</v>
      </c>
      <c r="E23" s="6">
        <v>9.5189000000000004</v>
      </c>
      <c r="F23" s="38">
        <v>5.13</v>
      </c>
      <c r="G23" s="8">
        <v>0.05</v>
      </c>
      <c r="H23" s="9">
        <f t="shared" si="3"/>
        <v>2.9849594261855379</v>
      </c>
      <c r="I23" s="9">
        <f t="shared" si="0"/>
        <v>0.95189000000000001</v>
      </c>
      <c r="J23" s="1"/>
      <c r="K23" s="1"/>
      <c r="L23" s="1"/>
      <c r="M23" s="1"/>
      <c r="N23" s="1"/>
      <c r="O23" s="1"/>
      <c r="P23" s="1"/>
      <c r="Q23" s="47" t="s">
        <v>12</v>
      </c>
      <c r="R23" s="46"/>
      <c r="S23" s="46"/>
      <c r="T23" s="46"/>
      <c r="U23" s="46"/>
      <c r="V23" s="46"/>
      <c r="W23" s="32"/>
      <c r="X23" s="32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>
      <c r="A24" s="1"/>
      <c r="B24" s="5">
        <v>20</v>
      </c>
      <c r="C24" s="5">
        <v>20</v>
      </c>
      <c r="D24" s="5">
        <v>10</v>
      </c>
      <c r="E24" s="6">
        <v>9.6023999999999994</v>
      </c>
      <c r="F24" s="38">
        <v>5.4</v>
      </c>
      <c r="G24" s="8">
        <v>0.04</v>
      </c>
      <c r="H24" s="9">
        <f t="shared" si="3"/>
        <v>3.1843218714287143</v>
      </c>
      <c r="I24" s="9">
        <f t="shared" si="0"/>
        <v>0.96023999999999998</v>
      </c>
      <c r="J24" s="1"/>
      <c r="K24" s="1"/>
      <c r="L24" s="1"/>
      <c r="M24" s="1"/>
      <c r="N24" s="1"/>
      <c r="O24" s="1"/>
      <c r="P24" s="1"/>
      <c r="Q24" s="48" t="s">
        <v>13</v>
      </c>
      <c r="R24" s="46"/>
      <c r="S24" s="46"/>
      <c r="T24" s="46"/>
      <c r="U24" s="46"/>
      <c r="V24" s="46"/>
      <c r="W24" s="32"/>
      <c r="X24" s="3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>
      <c r="A25" s="1"/>
      <c r="B25" s="5">
        <v>21</v>
      </c>
      <c r="C25" s="5">
        <v>21</v>
      </c>
      <c r="D25" s="5">
        <v>10</v>
      </c>
      <c r="E25" s="6">
        <v>9.2545000000000002</v>
      </c>
      <c r="F25" s="38">
        <v>5.67</v>
      </c>
      <c r="G25" s="8">
        <v>7.0000000000000007E-2</v>
      </c>
      <c r="H25" s="9">
        <f t="shared" si="3"/>
        <v>2.5188100644919786</v>
      </c>
      <c r="I25" s="9">
        <f t="shared" si="0"/>
        <v>0.92544999999999999</v>
      </c>
      <c r="J25" s="1"/>
      <c r="K25" s="1"/>
      <c r="L25" s="1"/>
      <c r="M25" s="1"/>
      <c r="N25" s="1"/>
      <c r="O25" s="1"/>
      <c r="P25" s="1"/>
      <c r="Q25" s="77"/>
      <c r="R25" s="78"/>
      <c r="S25" s="78"/>
      <c r="T25" s="78"/>
      <c r="U25" s="78"/>
      <c r="V25" s="78"/>
      <c r="W25" s="32"/>
      <c r="X25" s="3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3.8">
      <c r="A26" s="1"/>
      <c r="B26" s="15">
        <v>22</v>
      </c>
      <c r="C26" s="15">
        <v>22</v>
      </c>
      <c r="D26" s="15">
        <v>10</v>
      </c>
      <c r="E26" s="16">
        <v>9.4910999999999994</v>
      </c>
      <c r="F26" s="40">
        <v>5.94</v>
      </c>
      <c r="G26" s="18">
        <v>0.05</v>
      </c>
      <c r="H26" s="62">
        <f t="shared" si="3"/>
        <v>2.9258582627777425</v>
      </c>
      <c r="I26" s="19">
        <f t="shared" si="0"/>
        <v>0.9491099999999999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>
      <c r="A27" s="1"/>
      <c r="B27" s="49" t="s">
        <v>12</v>
      </c>
      <c r="C27" s="46"/>
      <c r="D27" s="46"/>
      <c r="E27" s="46"/>
      <c r="F27" s="46"/>
      <c r="G27" s="4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>
      <c r="A28" s="1"/>
      <c r="B28" s="50" t="s">
        <v>13</v>
      </c>
      <c r="C28" s="46"/>
      <c r="D28" s="46"/>
      <c r="E28" s="46"/>
      <c r="F28" s="46"/>
      <c r="G28" s="4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>
      <c r="A31" s="1"/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1"/>
      <c r="Q31" s="45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2"/>
      <c r="AF31" s="45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2"/>
      <c r="AU31" s="2"/>
    </row>
    <row r="32" spans="1:47" ht="27.6">
      <c r="A32" s="1"/>
      <c r="B32" s="52" t="s">
        <v>1</v>
      </c>
      <c r="C32" s="52" t="s">
        <v>14</v>
      </c>
      <c r="D32" s="52" t="s">
        <v>15</v>
      </c>
      <c r="E32" s="52" t="s">
        <v>15</v>
      </c>
      <c r="F32" s="52" t="s">
        <v>15</v>
      </c>
      <c r="G32" s="3" t="s">
        <v>21</v>
      </c>
      <c r="H32" s="52" t="s">
        <v>22</v>
      </c>
      <c r="I32" s="3" t="s">
        <v>23</v>
      </c>
      <c r="J32" s="3" t="s">
        <v>16</v>
      </c>
      <c r="K32" s="20" t="s">
        <v>24</v>
      </c>
      <c r="L32" s="3" t="s">
        <v>37</v>
      </c>
      <c r="M32" s="74" t="s">
        <v>17</v>
      </c>
      <c r="N32" s="3" t="s">
        <v>38</v>
      </c>
      <c r="O32" s="74" t="s">
        <v>18</v>
      </c>
      <c r="P32" s="1"/>
      <c r="Q32" s="53" t="s">
        <v>1</v>
      </c>
      <c r="R32" s="53" t="s">
        <v>14</v>
      </c>
      <c r="S32" s="53" t="s">
        <v>15</v>
      </c>
      <c r="T32" s="53" t="s">
        <v>15</v>
      </c>
      <c r="U32" s="53" t="s">
        <v>15</v>
      </c>
      <c r="V32" s="24" t="s">
        <v>21</v>
      </c>
      <c r="W32" s="53" t="s">
        <v>22</v>
      </c>
      <c r="X32" s="24" t="s">
        <v>23</v>
      </c>
      <c r="Y32" s="24" t="s">
        <v>16</v>
      </c>
      <c r="Z32" s="26" t="s">
        <v>24</v>
      </c>
      <c r="AA32" s="24" t="s">
        <v>37</v>
      </c>
      <c r="AB32" s="24" t="s">
        <v>17</v>
      </c>
      <c r="AC32" s="24" t="s">
        <v>38</v>
      </c>
      <c r="AD32" s="24" t="s">
        <v>18</v>
      </c>
      <c r="AE32" s="2"/>
      <c r="AF32" s="54" t="s">
        <v>1</v>
      </c>
      <c r="AG32" s="54" t="s">
        <v>14</v>
      </c>
      <c r="AH32" s="54" t="s">
        <v>15</v>
      </c>
      <c r="AI32" s="54" t="s">
        <v>15</v>
      </c>
      <c r="AJ32" s="54" t="s">
        <v>15</v>
      </c>
      <c r="AK32" s="28" t="s">
        <v>21</v>
      </c>
      <c r="AL32" s="54" t="s">
        <v>22</v>
      </c>
      <c r="AM32" s="28" t="s">
        <v>23</v>
      </c>
      <c r="AN32" s="28" t="s">
        <v>16</v>
      </c>
      <c r="AO32" s="30" t="s">
        <v>24</v>
      </c>
      <c r="AP32" s="28" t="s">
        <v>37</v>
      </c>
      <c r="AQ32" s="28" t="s">
        <v>17</v>
      </c>
      <c r="AR32" s="28" t="s">
        <v>38</v>
      </c>
      <c r="AS32" s="28" t="s">
        <v>18</v>
      </c>
      <c r="AT32" s="2"/>
      <c r="AU32" s="2"/>
    </row>
    <row r="33" spans="1:47">
      <c r="A33" s="1"/>
      <c r="B33" s="4" t="s">
        <v>9</v>
      </c>
      <c r="C33" s="4" t="s">
        <v>19</v>
      </c>
      <c r="D33" s="4" t="s">
        <v>26</v>
      </c>
      <c r="E33" s="4" t="s">
        <v>27</v>
      </c>
      <c r="F33" s="4" t="s">
        <v>20</v>
      </c>
      <c r="G33" s="4" t="s">
        <v>28</v>
      </c>
      <c r="H33" s="4" t="s">
        <v>29</v>
      </c>
      <c r="I33" s="4" t="s">
        <v>30</v>
      </c>
      <c r="J33" s="4"/>
      <c r="K33" s="21"/>
      <c r="L33" s="4" t="s">
        <v>39</v>
      </c>
      <c r="M33" s="4" t="s">
        <v>9</v>
      </c>
      <c r="N33" s="4" t="s">
        <v>9</v>
      </c>
      <c r="O33" s="4"/>
      <c r="P33" s="1"/>
      <c r="Q33" s="25" t="s">
        <v>9</v>
      </c>
      <c r="R33" s="25" t="s">
        <v>19</v>
      </c>
      <c r="S33" s="25" t="s">
        <v>26</v>
      </c>
      <c r="T33" s="25" t="s">
        <v>27</v>
      </c>
      <c r="U33" s="25" t="s">
        <v>20</v>
      </c>
      <c r="V33" s="25" t="s">
        <v>28</v>
      </c>
      <c r="W33" s="25" t="s">
        <v>29</v>
      </c>
      <c r="X33" s="25" t="s">
        <v>30</v>
      </c>
      <c r="Y33" s="25"/>
      <c r="Z33" s="27"/>
      <c r="AA33" s="25" t="s">
        <v>39</v>
      </c>
      <c r="AB33" s="25" t="s">
        <v>9</v>
      </c>
      <c r="AC33" s="25" t="s">
        <v>9</v>
      </c>
      <c r="AD33" s="25"/>
      <c r="AE33" s="1"/>
      <c r="AF33" s="41" t="s">
        <v>9</v>
      </c>
      <c r="AG33" s="29" t="s">
        <v>19</v>
      </c>
      <c r="AH33" s="29" t="s">
        <v>26</v>
      </c>
      <c r="AI33" s="29" t="s">
        <v>27</v>
      </c>
      <c r="AJ33" s="29" t="s">
        <v>20</v>
      </c>
      <c r="AK33" s="29" t="s">
        <v>28</v>
      </c>
      <c r="AL33" s="29" t="s">
        <v>29</v>
      </c>
      <c r="AM33" s="29" t="s">
        <v>30</v>
      </c>
      <c r="AN33" s="29"/>
      <c r="AO33" s="31"/>
      <c r="AP33" s="29" t="s">
        <v>39</v>
      </c>
      <c r="AQ33" s="29" t="s">
        <v>9</v>
      </c>
      <c r="AR33" s="29" t="s">
        <v>9</v>
      </c>
      <c r="AS33" s="29"/>
      <c r="AT33" s="1"/>
      <c r="AU33" s="1"/>
    </row>
    <row r="34" spans="1:47">
      <c r="A34" s="1"/>
      <c r="B34" s="5">
        <v>1</v>
      </c>
      <c r="C34" s="5">
        <v>20</v>
      </c>
      <c r="D34" s="5">
        <v>4.5</v>
      </c>
      <c r="E34" s="5">
        <f t="shared" ref="E34:E55" si="6">D34*60</f>
        <v>270</v>
      </c>
      <c r="F34" s="5">
        <f t="shared" ref="F34:F55" si="7">E34/1000</f>
        <v>0.27</v>
      </c>
      <c r="G34" s="5">
        <f t="shared" ref="G34:G55" si="8">(1/4)*3.14*3^2</f>
        <v>7.0650000000000004</v>
      </c>
      <c r="H34" s="23">
        <f t="shared" ref="H34:H55" si="9">E34/G34</f>
        <v>38.216560509554135</v>
      </c>
      <c r="I34" s="5">
        <f t="shared" ref="I34:I55" si="10">D5</f>
        <v>10</v>
      </c>
      <c r="J34" s="5">
        <v>0.3795</v>
      </c>
      <c r="K34" s="34">
        <v>-5.1387</v>
      </c>
      <c r="L34" s="5">
        <f t="shared" ref="L34:L55" si="11">J34</f>
        <v>0.3795</v>
      </c>
      <c r="M34" s="9">
        <f t="shared" ref="M34:M55" si="12">ABS(K34/L34)</f>
        <v>13.540711462450593</v>
      </c>
      <c r="N34" s="9">
        <f t="shared" ref="N34:N55" si="13">_xlfn.FORECAST.LINEAR(0.5,$B$34:$B$55,$I$5:$I$26)</f>
        <v>13.128928278182713</v>
      </c>
      <c r="O34" s="5">
        <v>0.96660000000000001</v>
      </c>
      <c r="P34" s="1"/>
      <c r="Q34" s="5">
        <v>1</v>
      </c>
      <c r="R34" s="5">
        <v>20</v>
      </c>
      <c r="S34" s="5">
        <v>4.5</v>
      </c>
      <c r="T34" s="5">
        <f t="shared" ref="T34:T51" si="14">S34*60</f>
        <v>270</v>
      </c>
      <c r="U34" s="5">
        <f t="shared" ref="U34:U51" si="15">T34/1000</f>
        <v>0.27</v>
      </c>
      <c r="V34" s="5">
        <f t="shared" ref="V34:V51" si="16">(1/4)*3.14*3^2</f>
        <v>7.0650000000000004</v>
      </c>
      <c r="W34" s="23">
        <f t="shared" ref="W34:W51" si="17">T34/V34</f>
        <v>38.216560509554135</v>
      </c>
      <c r="X34" s="5">
        <f t="shared" ref="X34:X51" si="18">S5</f>
        <v>15</v>
      </c>
      <c r="Y34" s="5">
        <v>0.4405</v>
      </c>
      <c r="Z34" s="34">
        <v>-4.9161000000000001</v>
      </c>
      <c r="AA34" s="5">
        <f t="shared" ref="AA34:AA51" si="19">Y34</f>
        <v>0.4405</v>
      </c>
      <c r="AB34" s="9">
        <f t="shared" ref="AB34:AB51" si="20">ABS(Z34/AA34)</f>
        <v>11.160272417707152</v>
      </c>
      <c r="AC34" s="9">
        <f t="shared" ref="AC34:AC51" si="21">_xlfn.FORECAST.LINEAR(0.5,$B$34:$B$55,$X$5:$X$26)</f>
        <v>11.014178330949719</v>
      </c>
      <c r="AD34" s="5">
        <v>0.97060000000000002</v>
      </c>
      <c r="AE34" s="1"/>
      <c r="AF34" s="5">
        <v>1</v>
      </c>
      <c r="AG34" s="42">
        <v>20</v>
      </c>
      <c r="AH34" s="5">
        <v>4.5</v>
      </c>
      <c r="AI34" s="5">
        <f t="shared" ref="AI34:AI55" si="22">AH34*60</f>
        <v>270</v>
      </c>
      <c r="AJ34" s="5">
        <f t="shared" ref="AJ34:AJ55" si="23">AI34/1000</f>
        <v>0.27</v>
      </c>
      <c r="AK34" s="5">
        <f t="shared" ref="AK34:AK55" si="24">(1/4)*3.14*3^2</f>
        <v>7.0650000000000004</v>
      </c>
      <c r="AL34" s="23">
        <f t="shared" ref="AL34:AL55" si="25">AI34/AK34</f>
        <v>38.216560509554135</v>
      </c>
      <c r="AM34" s="43">
        <f t="shared" ref="AM34:AM55" si="26">AH5</f>
        <v>20</v>
      </c>
      <c r="AN34" s="5">
        <v>0.55469999999999997</v>
      </c>
      <c r="AO34" s="5">
        <v>-4.8227000000000002</v>
      </c>
      <c r="AP34" s="34">
        <f t="shared" ref="AP34:AP55" si="27">AN34</f>
        <v>0.55469999999999997</v>
      </c>
      <c r="AQ34" s="9">
        <f t="shared" ref="AQ34:AQ55" si="28">ABS(AO34/AP34)</f>
        <v>8.6942491436812706</v>
      </c>
      <c r="AR34" s="9">
        <f>_xlfn.FORECAST.LINEAR(0.5,$AF$34:$AF$47,$AM$5:$AM$18)</f>
        <v>8.6445786240004558</v>
      </c>
      <c r="AS34" s="9">
        <v>0.97809999999999997</v>
      </c>
      <c r="AT34" s="1"/>
      <c r="AU34" s="1"/>
    </row>
    <row r="35" spans="1:47">
      <c r="A35" s="1"/>
      <c r="B35" s="5">
        <v>2</v>
      </c>
      <c r="C35" s="5">
        <v>20</v>
      </c>
      <c r="D35" s="5">
        <v>4.5</v>
      </c>
      <c r="E35" s="5">
        <f t="shared" si="6"/>
        <v>270</v>
      </c>
      <c r="F35" s="5">
        <f t="shared" si="7"/>
        <v>0.27</v>
      </c>
      <c r="G35" s="5">
        <f t="shared" si="8"/>
        <v>7.0650000000000004</v>
      </c>
      <c r="H35" s="23">
        <f t="shared" si="9"/>
        <v>38.216560509554135</v>
      </c>
      <c r="I35" s="5">
        <f t="shared" si="10"/>
        <v>10</v>
      </c>
      <c r="J35" s="5">
        <v>0.3795</v>
      </c>
      <c r="K35" s="34">
        <v>-5.1387</v>
      </c>
      <c r="L35" s="5">
        <f t="shared" si="11"/>
        <v>0.3795</v>
      </c>
      <c r="M35" s="9">
        <f t="shared" si="12"/>
        <v>13.540711462450593</v>
      </c>
      <c r="N35" s="9">
        <f t="shared" si="13"/>
        <v>13.128928278182713</v>
      </c>
      <c r="O35" s="5">
        <v>0.96660000000000001</v>
      </c>
      <c r="P35" s="1"/>
      <c r="Q35" s="5">
        <v>2</v>
      </c>
      <c r="R35" s="5">
        <v>20</v>
      </c>
      <c r="S35" s="5">
        <v>4.5</v>
      </c>
      <c r="T35" s="5">
        <f t="shared" si="14"/>
        <v>270</v>
      </c>
      <c r="U35" s="5">
        <f t="shared" si="15"/>
        <v>0.27</v>
      </c>
      <c r="V35" s="5">
        <f t="shared" si="16"/>
        <v>7.0650000000000004</v>
      </c>
      <c r="W35" s="23">
        <f t="shared" si="17"/>
        <v>38.216560509554135</v>
      </c>
      <c r="X35" s="5">
        <f t="shared" si="18"/>
        <v>15</v>
      </c>
      <c r="Y35" s="5">
        <v>0.4405</v>
      </c>
      <c r="Z35" s="34">
        <v>-4.9161000000000001</v>
      </c>
      <c r="AA35" s="5">
        <f t="shared" si="19"/>
        <v>0.4405</v>
      </c>
      <c r="AB35" s="9">
        <f t="shared" si="20"/>
        <v>11.160272417707152</v>
      </c>
      <c r="AC35" s="9">
        <f t="shared" si="21"/>
        <v>11.014178330949719</v>
      </c>
      <c r="AD35" s="5">
        <v>0.97060000000000002</v>
      </c>
      <c r="AE35" s="1"/>
      <c r="AF35" s="44">
        <v>2</v>
      </c>
      <c r="AG35" s="5">
        <v>20</v>
      </c>
      <c r="AH35" s="5">
        <v>4.5</v>
      </c>
      <c r="AI35" s="5">
        <f t="shared" si="22"/>
        <v>270</v>
      </c>
      <c r="AJ35" s="5">
        <f t="shared" si="23"/>
        <v>0.27</v>
      </c>
      <c r="AK35" s="5">
        <f t="shared" si="24"/>
        <v>7.0650000000000004</v>
      </c>
      <c r="AL35" s="23">
        <f t="shared" si="25"/>
        <v>38.216560509554135</v>
      </c>
      <c r="AM35" s="5">
        <f t="shared" si="26"/>
        <v>20</v>
      </c>
      <c r="AN35" s="5">
        <v>0.55469999999999997</v>
      </c>
      <c r="AO35" s="5">
        <v>-4.8227000000000002</v>
      </c>
      <c r="AP35" s="5">
        <f t="shared" si="27"/>
        <v>0.55469999999999997</v>
      </c>
      <c r="AQ35" s="9">
        <f t="shared" si="28"/>
        <v>8.6942491436812706</v>
      </c>
      <c r="AR35" s="9">
        <f t="shared" ref="AR35:AR47" si="29">_xlfn.FORECAST.LINEAR(0.5,$AF$34:$AF$47,$AM$5:$AM$18)</f>
        <v>8.6445786240004558</v>
      </c>
      <c r="AS35" s="9">
        <v>0.97809999999999997</v>
      </c>
      <c r="AT35" s="1"/>
      <c r="AU35" s="1"/>
    </row>
    <row r="36" spans="1:47">
      <c r="A36" s="1"/>
      <c r="B36" s="5">
        <v>3</v>
      </c>
      <c r="C36" s="5">
        <v>20</v>
      </c>
      <c r="D36" s="5">
        <v>4.5</v>
      </c>
      <c r="E36" s="5">
        <f t="shared" si="6"/>
        <v>270</v>
      </c>
      <c r="F36" s="5">
        <f t="shared" si="7"/>
        <v>0.27</v>
      </c>
      <c r="G36" s="5">
        <f t="shared" si="8"/>
        <v>7.0650000000000004</v>
      </c>
      <c r="H36" s="23">
        <f t="shared" si="9"/>
        <v>38.216560509554135</v>
      </c>
      <c r="I36" s="5">
        <f t="shared" si="10"/>
        <v>10</v>
      </c>
      <c r="J36" s="5">
        <v>0.3795</v>
      </c>
      <c r="K36" s="34">
        <v>-5.1387</v>
      </c>
      <c r="L36" s="5">
        <f t="shared" si="11"/>
        <v>0.3795</v>
      </c>
      <c r="M36" s="9">
        <f t="shared" si="12"/>
        <v>13.540711462450593</v>
      </c>
      <c r="N36" s="9">
        <f t="shared" si="13"/>
        <v>13.128928278182713</v>
      </c>
      <c r="O36" s="5">
        <v>0.96660000000000001</v>
      </c>
      <c r="P36" s="1"/>
      <c r="Q36" s="5">
        <v>3</v>
      </c>
      <c r="R36" s="5">
        <v>20</v>
      </c>
      <c r="S36" s="5">
        <v>4.5</v>
      </c>
      <c r="T36" s="5">
        <f t="shared" si="14"/>
        <v>270</v>
      </c>
      <c r="U36" s="5">
        <f t="shared" si="15"/>
        <v>0.27</v>
      </c>
      <c r="V36" s="5">
        <f t="shared" si="16"/>
        <v>7.0650000000000004</v>
      </c>
      <c r="W36" s="23">
        <f t="shared" si="17"/>
        <v>38.216560509554135</v>
      </c>
      <c r="X36" s="5">
        <f t="shared" si="18"/>
        <v>15</v>
      </c>
      <c r="Y36" s="5">
        <v>0.4405</v>
      </c>
      <c r="Z36" s="34">
        <v>-4.9161000000000001</v>
      </c>
      <c r="AA36" s="5">
        <f t="shared" si="19"/>
        <v>0.4405</v>
      </c>
      <c r="AB36" s="9">
        <f t="shared" si="20"/>
        <v>11.160272417707152</v>
      </c>
      <c r="AC36" s="9">
        <f t="shared" si="21"/>
        <v>11.014178330949719</v>
      </c>
      <c r="AD36" s="5">
        <v>0.97060000000000002</v>
      </c>
      <c r="AE36" s="1"/>
      <c r="AF36" s="5">
        <v>3</v>
      </c>
      <c r="AG36" s="5">
        <v>20</v>
      </c>
      <c r="AH36" s="5">
        <v>4.5</v>
      </c>
      <c r="AI36" s="5">
        <f t="shared" si="22"/>
        <v>270</v>
      </c>
      <c r="AJ36" s="5">
        <f t="shared" si="23"/>
        <v>0.27</v>
      </c>
      <c r="AK36" s="5">
        <f t="shared" si="24"/>
        <v>7.0650000000000004</v>
      </c>
      <c r="AL36" s="23">
        <f t="shared" si="25"/>
        <v>38.216560509554135</v>
      </c>
      <c r="AM36" s="5">
        <f t="shared" si="26"/>
        <v>20</v>
      </c>
      <c r="AN36" s="5">
        <v>0.55469999999999997</v>
      </c>
      <c r="AO36" s="5">
        <v>-4.8227000000000002</v>
      </c>
      <c r="AP36" s="5">
        <f t="shared" si="27"/>
        <v>0.55469999999999997</v>
      </c>
      <c r="AQ36" s="9">
        <f t="shared" si="28"/>
        <v>8.6942491436812706</v>
      </c>
      <c r="AR36" s="9">
        <f t="shared" si="29"/>
        <v>8.6445786240004558</v>
      </c>
      <c r="AS36" s="9">
        <v>0.97809999999999997</v>
      </c>
      <c r="AT36" s="1"/>
      <c r="AU36" s="1"/>
    </row>
    <row r="37" spans="1:47">
      <c r="A37" s="1"/>
      <c r="B37" s="5">
        <v>4</v>
      </c>
      <c r="C37" s="5">
        <v>20</v>
      </c>
      <c r="D37" s="5">
        <v>4.5</v>
      </c>
      <c r="E37" s="5">
        <f t="shared" si="6"/>
        <v>270</v>
      </c>
      <c r="F37" s="5">
        <f t="shared" si="7"/>
        <v>0.27</v>
      </c>
      <c r="G37" s="5">
        <f t="shared" si="8"/>
        <v>7.0650000000000004</v>
      </c>
      <c r="H37" s="23">
        <f t="shared" si="9"/>
        <v>38.216560509554135</v>
      </c>
      <c r="I37" s="5">
        <f t="shared" si="10"/>
        <v>10</v>
      </c>
      <c r="J37" s="5">
        <v>0.3795</v>
      </c>
      <c r="K37" s="34">
        <v>-5.1387</v>
      </c>
      <c r="L37" s="5">
        <f t="shared" si="11"/>
        <v>0.3795</v>
      </c>
      <c r="M37" s="9">
        <f t="shared" si="12"/>
        <v>13.540711462450593</v>
      </c>
      <c r="N37" s="9">
        <f t="shared" si="13"/>
        <v>13.128928278182713</v>
      </c>
      <c r="O37" s="5">
        <v>0.96660000000000001</v>
      </c>
      <c r="P37" s="1"/>
      <c r="Q37" s="5">
        <v>4</v>
      </c>
      <c r="R37" s="5">
        <v>20</v>
      </c>
      <c r="S37" s="5">
        <v>4.5</v>
      </c>
      <c r="T37" s="5">
        <f t="shared" si="14"/>
        <v>270</v>
      </c>
      <c r="U37" s="5">
        <f t="shared" si="15"/>
        <v>0.27</v>
      </c>
      <c r="V37" s="5">
        <f t="shared" si="16"/>
        <v>7.0650000000000004</v>
      </c>
      <c r="W37" s="23">
        <f t="shared" si="17"/>
        <v>38.216560509554135</v>
      </c>
      <c r="X37" s="5">
        <f t="shared" si="18"/>
        <v>15</v>
      </c>
      <c r="Y37" s="5">
        <v>0.4405</v>
      </c>
      <c r="Z37" s="34">
        <v>-4.9161000000000001</v>
      </c>
      <c r="AA37" s="5">
        <f t="shared" si="19"/>
        <v>0.4405</v>
      </c>
      <c r="AB37" s="9">
        <f t="shared" si="20"/>
        <v>11.160272417707152</v>
      </c>
      <c r="AC37" s="9">
        <f t="shared" si="21"/>
        <v>11.014178330949719</v>
      </c>
      <c r="AD37" s="5">
        <v>0.97060000000000002</v>
      </c>
      <c r="AE37" s="1"/>
      <c r="AF37" s="5">
        <v>4</v>
      </c>
      <c r="AG37" s="5">
        <v>20</v>
      </c>
      <c r="AH37" s="5">
        <v>4.5</v>
      </c>
      <c r="AI37" s="5">
        <f t="shared" si="22"/>
        <v>270</v>
      </c>
      <c r="AJ37" s="5">
        <f t="shared" si="23"/>
        <v>0.27</v>
      </c>
      <c r="AK37" s="5">
        <f t="shared" si="24"/>
        <v>7.0650000000000004</v>
      </c>
      <c r="AL37" s="23">
        <f t="shared" si="25"/>
        <v>38.216560509554135</v>
      </c>
      <c r="AM37" s="5">
        <f t="shared" si="26"/>
        <v>20</v>
      </c>
      <c r="AN37" s="5">
        <v>0.55469999999999997</v>
      </c>
      <c r="AO37" s="5">
        <v>-4.8227000000000002</v>
      </c>
      <c r="AP37" s="5">
        <f t="shared" si="27"/>
        <v>0.55469999999999997</v>
      </c>
      <c r="AQ37" s="9">
        <f t="shared" si="28"/>
        <v>8.6942491436812706</v>
      </c>
      <c r="AR37" s="9">
        <f t="shared" si="29"/>
        <v>8.6445786240004558</v>
      </c>
      <c r="AS37" s="9">
        <v>0.97809999999999997</v>
      </c>
      <c r="AT37" s="1"/>
      <c r="AU37" s="1"/>
    </row>
    <row r="38" spans="1:47">
      <c r="A38" s="1"/>
      <c r="B38" s="5">
        <v>5</v>
      </c>
      <c r="C38" s="5">
        <v>20</v>
      </c>
      <c r="D38" s="5">
        <v>4.5</v>
      </c>
      <c r="E38" s="5">
        <f t="shared" si="6"/>
        <v>270</v>
      </c>
      <c r="F38" s="5">
        <f t="shared" si="7"/>
        <v>0.27</v>
      </c>
      <c r="G38" s="5">
        <f t="shared" si="8"/>
        <v>7.0650000000000004</v>
      </c>
      <c r="H38" s="23">
        <f t="shared" si="9"/>
        <v>38.216560509554135</v>
      </c>
      <c r="I38" s="5">
        <f t="shared" si="10"/>
        <v>10</v>
      </c>
      <c r="J38" s="5">
        <v>0.3795</v>
      </c>
      <c r="K38" s="34">
        <v>-5.1387</v>
      </c>
      <c r="L38" s="5">
        <f t="shared" si="11"/>
        <v>0.3795</v>
      </c>
      <c r="M38" s="9">
        <f t="shared" si="12"/>
        <v>13.540711462450593</v>
      </c>
      <c r="N38" s="9">
        <f t="shared" si="13"/>
        <v>13.128928278182713</v>
      </c>
      <c r="O38" s="5">
        <v>0.96660000000000001</v>
      </c>
      <c r="P38" s="1"/>
      <c r="Q38" s="5">
        <v>5</v>
      </c>
      <c r="R38" s="5">
        <v>20</v>
      </c>
      <c r="S38" s="5">
        <v>4.5</v>
      </c>
      <c r="T38" s="5">
        <f t="shared" si="14"/>
        <v>270</v>
      </c>
      <c r="U38" s="5">
        <f t="shared" si="15"/>
        <v>0.27</v>
      </c>
      <c r="V38" s="5">
        <f t="shared" si="16"/>
        <v>7.0650000000000004</v>
      </c>
      <c r="W38" s="23">
        <f t="shared" si="17"/>
        <v>38.216560509554135</v>
      </c>
      <c r="X38" s="5">
        <f t="shared" si="18"/>
        <v>15</v>
      </c>
      <c r="Y38" s="5">
        <v>0.4405</v>
      </c>
      <c r="Z38" s="34">
        <v>-4.9161000000000001</v>
      </c>
      <c r="AA38" s="5">
        <f t="shared" si="19"/>
        <v>0.4405</v>
      </c>
      <c r="AB38" s="9">
        <f t="shared" si="20"/>
        <v>11.160272417707152</v>
      </c>
      <c r="AC38" s="9">
        <f t="shared" si="21"/>
        <v>11.014178330949719</v>
      </c>
      <c r="AD38" s="5">
        <v>0.97060000000000002</v>
      </c>
      <c r="AE38" s="1"/>
      <c r="AF38" s="5">
        <v>5</v>
      </c>
      <c r="AG38" s="5">
        <v>20</v>
      </c>
      <c r="AH38" s="5">
        <v>4.5</v>
      </c>
      <c r="AI38" s="5">
        <f t="shared" si="22"/>
        <v>270</v>
      </c>
      <c r="AJ38" s="5">
        <f t="shared" si="23"/>
        <v>0.27</v>
      </c>
      <c r="AK38" s="5">
        <f t="shared" si="24"/>
        <v>7.0650000000000004</v>
      </c>
      <c r="AL38" s="23">
        <f t="shared" si="25"/>
        <v>38.216560509554135</v>
      </c>
      <c r="AM38" s="5">
        <f t="shared" si="26"/>
        <v>20</v>
      </c>
      <c r="AN38" s="5">
        <v>0.55469999999999997</v>
      </c>
      <c r="AO38" s="5">
        <v>-4.8227000000000002</v>
      </c>
      <c r="AP38" s="5">
        <f t="shared" si="27"/>
        <v>0.55469999999999997</v>
      </c>
      <c r="AQ38" s="9">
        <f t="shared" si="28"/>
        <v>8.6942491436812706</v>
      </c>
      <c r="AR38" s="9">
        <f t="shared" si="29"/>
        <v>8.6445786240004558</v>
      </c>
      <c r="AS38" s="9">
        <v>0.97809999999999997</v>
      </c>
      <c r="AT38" s="1"/>
      <c r="AU38" s="1"/>
    </row>
    <row r="39" spans="1:47">
      <c r="A39" s="1"/>
      <c r="B39" s="5">
        <v>6</v>
      </c>
      <c r="C39" s="5">
        <v>20</v>
      </c>
      <c r="D39" s="5">
        <v>4.5</v>
      </c>
      <c r="E39" s="5">
        <f t="shared" si="6"/>
        <v>270</v>
      </c>
      <c r="F39" s="5">
        <f t="shared" si="7"/>
        <v>0.27</v>
      </c>
      <c r="G39" s="5">
        <f t="shared" si="8"/>
        <v>7.0650000000000004</v>
      </c>
      <c r="H39" s="23">
        <f t="shared" si="9"/>
        <v>38.216560509554135</v>
      </c>
      <c r="I39" s="5">
        <f t="shared" si="10"/>
        <v>10</v>
      </c>
      <c r="J39" s="5">
        <v>0.3795</v>
      </c>
      <c r="K39" s="34">
        <v>-5.1387</v>
      </c>
      <c r="L39" s="5">
        <f t="shared" si="11"/>
        <v>0.3795</v>
      </c>
      <c r="M39" s="9">
        <f t="shared" si="12"/>
        <v>13.540711462450593</v>
      </c>
      <c r="N39" s="9">
        <f t="shared" si="13"/>
        <v>13.128928278182713</v>
      </c>
      <c r="O39" s="5">
        <v>0.96660000000000001</v>
      </c>
      <c r="P39" s="1"/>
      <c r="Q39" s="5">
        <v>6</v>
      </c>
      <c r="R39" s="5">
        <v>20</v>
      </c>
      <c r="S39" s="5">
        <v>4.5</v>
      </c>
      <c r="T39" s="5">
        <f t="shared" si="14"/>
        <v>270</v>
      </c>
      <c r="U39" s="5">
        <f t="shared" si="15"/>
        <v>0.27</v>
      </c>
      <c r="V39" s="5">
        <f t="shared" si="16"/>
        <v>7.0650000000000004</v>
      </c>
      <c r="W39" s="23">
        <f t="shared" si="17"/>
        <v>38.216560509554135</v>
      </c>
      <c r="X39" s="5">
        <f t="shared" si="18"/>
        <v>15</v>
      </c>
      <c r="Y39" s="5">
        <v>0.4405</v>
      </c>
      <c r="Z39" s="34">
        <v>-4.9161000000000001</v>
      </c>
      <c r="AA39" s="5">
        <f t="shared" si="19"/>
        <v>0.4405</v>
      </c>
      <c r="AB39" s="9">
        <f t="shared" si="20"/>
        <v>11.160272417707152</v>
      </c>
      <c r="AC39" s="9">
        <f t="shared" si="21"/>
        <v>11.014178330949719</v>
      </c>
      <c r="AD39" s="5">
        <v>0.97060000000000002</v>
      </c>
      <c r="AE39" s="1"/>
      <c r="AF39" s="5">
        <v>6</v>
      </c>
      <c r="AG39" s="5">
        <v>20</v>
      </c>
      <c r="AH39" s="5">
        <v>4.5</v>
      </c>
      <c r="AI39" s="5">
        <f t="shared" si="22"/>
        <v>270</v>
      </c>
      <c r="AJ39" s="5">
        <f t="shared" si="23"/>
        <v>0.27</v>
      </c>
      <c r="AK39" s="5">
        <f t="shared" si="24"/>
        <v>7.0650000000000004</v>
      </c>
      <c r="AL39" s="23">
        <f t="shared" si="25"/>
        <v>38.216560509554135</v>
      </c>
      <c r="AM39" s="5">
        <f t="shared" si="26"/>
        <v>20</v>
      </c>
      <c r="AN39" s="5">
        <v>0.55469999999999997</v>
      </c>
      <c r="AO39" s="5">
        <v>-4.8227000000000002</v>
      </c>
      <c r="AP39" s="5">
        <f t="shared" si="27"/>
        <v>0.55469999999999997</v>
      </c>
      <c r="AQ39" s="9">
        <f t="shared" si="28"/>
        <v>8.6942491436812706</v>
      </c>
      <c r="AR39" s="9">
        <f t="shared" si="29"/>
        <v>8.6445786240004558</v>
      </c>
      <c r="AS39" s="9">
        <v>0.97809999999999997</v>
      </c>
      <c r="AT39" s="1"/>
      <c r="AU39" s="1"/>
    </row>
    <row r="40" spans="1:47">
      <c r="A40" s="1"/>
      <c r="B40" s="5">
        <v>7</v>
      </c>
      <c r="C40" s="5">
        <v>20</v>
      </c>
      <c r="D40" s="5">
        <v>4.5</v>
      </c>
      <c r="E40" s="5">
        <f t="shared" si="6"/>
        <v>270</v>
      </c>
      <c r="F40" s="5">
        <f t="shared" si="7"/>
        <v>0.27</v>
      </c>
      <c r="G40" s="5">
        <f t="shared" si="8"/>
        <v>7.0650000000000004</v>
      </c>
      <c r="H40" s="23">
        <f t="shared" si="9"/>
        <v>38.216560509554135</v>
      </c>
      <c r="I40" s="5">
        <f t="shared" si="10"/>
        <v>10</v>
      </c>
      <c r="J40" s="5">
        <v>0.3795</v>
      </c>
      <c r="K40" s="34">
        <v>-5.1387</v>
      </c>
      <c r="L40" s="5">
        <f t="shared" si="11"/>
        <v>0.3795</v>
      </c>
      <c r="M40" s="9">
        <f t="shared" si="12"/>
        <v>13.540711462450593</v>
      </c>
      <c r="N40" s="9">
        <f t="shared" si="13"/>
        <v>13.128928278182713</v>
      </c>
      <c r="O40" s="5">
        <v>0.96660000000000001</v>
      </c>
      <c r="P40" s="1"/>
      <c r="Q40" s="5">
        <v>7</v>
      </c>
      <c r="R40" s="5">
        <v>20</v>
      </c>
      <c r="S40" s="5">
        <v>4.5</v>
      </c>
      <c r="T40" s="5">
        <f t="shared" si="14"/>
        <v>270</v>
      </c>
      <c r="U40" s="5">
        <f t="shared" si="15"/>
        <v>0.27</v>
      </c>
      <c r="V40" s="5">
        <f t="shared" si="16"/>
        <v>7.0650000000000004</v>
      </c>
      <c r="W40" s="23">
        <f t="shared" si="17"/>
        <v>38.216560509554135</v>
      </c>
      <c r="X40" s="5">
        <f t="shared" si="18"/>
        <v>15</v>
      </c>
      <c r="Y40" s="5">
        <v>0.4405</v>
      </c>
      <c r="Z40" s="34">
        <v>-4.9161000000000001</v>
      </c>
      <c r="AA40" s="5">
        <f t="shared" si="19"/>
        <v>0.4405</v>
      </c>
      <c r="AB40" s="9">
        <f t="shared" si="20"/>
        <v>11.160272417707152</v>
      </c>
      <c r="AC40" s="9">
        <f t="shared" si="21"/>
        <v>11.014178330949719</v>
      </c>
      <c r="AD40" s="5">
        <v>0.97060000000000002</v>
      </c>
      <c r="AE40" s="1"/>
      <c r="AF40" s="5">
        <v>7</v>
      </c>
      <c r="AG40" s="5">
        <v>20</v>
      </c>
      <c r="AH40" s="5">
        <v>4.5</v>
      </c>
      <c r="AI40" s="5">
        <f t="shared" si="22"/>
        <v>270</v>
      </c>
      <c r="AJ40" s="5">
        <f t="shared" si="23"/>
        <v>0.27</v>
      </c>
      <c r="AK40" s="5">
        <f t="shared" si="24"/>
        <v>7.0650000000000004</v>
      </c>
      <c r="AL40" s="23">
        <f t="shared" si="25"/>
        <v>38.216560509554135</v>
      </c>
      <c r="AM40" s="5">
        <f t="shared" si="26"/>
        <v>20</v>
      </c>
      <c r="AN40" s="5">
        <v>0.55469999999999997</v>
      </c>
      <c r="AO40" s="5">
        <v>-4.8227000000000002</v>
      </c>
      <c r="AP40" s="5">
        <f t="shared" si="27"/>
        <v>0.55469999999999997</v>
      </c>
      <c r="AQ40" s="9">
        <f t="shared" si="28"/>
        <v>8.6942491436812706</v>
      </c>
      <c r="AR40" s="9">
        <f t="shared" si="29"/>
        <v>8.6445786240004558</v>
      </c>
      <c r="AS40" s="9">
        <v>0.97809999999999997</v>
      </c>
      <c r="AT40" s="1"/>
      <c r="AU40" s="1"/>
    </row>
    <row r="41" spans="1:47">
      <c r="A41" s="1"/>
      <c r="B41" s="5">
        <v>8</v>
      </c>
      <c r="C41" s="5">
        <v>20</v>
      </c>
      <c r="D41" s="5">
        <v>4.5</v>
      </c>
      <c r="E41" s="5">
        <f t="shared" si="6"/>
        <v>270</v>
      </c>
      <c r="F41" s="5">
        <f t="shared" si="7"/>
        <v>0.27</v>
      </c>
      <c r="G41" s="5">
        <f t="shared" si="8"/>
        <v>7.0650000000000004</v>
      </c>
      <c r="H41" s="23">
        <f t="shared" si="9"/>
        <v>38.216560509554135</v>
      </c>
      <c r="I41" s="5">
        <f t="shared" si="10"/>
        <v>10</v>
      </c>
      <c r="J41" s="5">
        <v>0.3795</v>
      </c>
      <c r="K41" s="34">
        <v>-5.1387</v>
      </c>
      <c r="L41" s="5">
        <f t="shared" si="11"/>
        <v>0.3795</v>
      </c>
      <c r="M41" s="9">
        <f t="shared" si="12"/>
        <v>13.540711462450593</v>
      </c>
      <c r="N41" s="9">
        <f t="shared" si="13"/>
        <v>13.128928278182713</v>
      </c>
      <c r="O41" s="5">
        <v>0.96660000000000001</v>
      </c>
      <c r="P41" s="1"/>
      <c r="Q41" s="5">
        <v>8</v>
      </c>
      <c r="R41" s="5">
        <v>20</v>
      </c>
      <c r="S41" s="5">
        <v>4.5</v>
      </c>
      <c r="T41" s="5">
        <f t="shared" si="14"/>
        <v>270</v>
      </c>
      <c r="U41" s="5">
        <f t="shared" si="15"/>
        <v>0.27</v>
      </c>
      <c r="V41" s="5">
        <f t="shared" si="16"/>
        <v>7.0650000000000004</v>
      </c>
      <c r="W41" s="23">
        <f t="shared" si="17"/>
        <v>38.216560509554135</v>
      </c>
      <c r="X41" s="5">
        <f t="shared" si="18"/>
        <v>15</v>
      </c>
      <c r="Y41" s="5">
        <v>0.4405</v>
      </c>
      <c r="Z41" s="34">
        <v>-4.9161000000000001</v>
      </c>
      <c r="AA41" s="5">
        <f t="shared" si="19"/>
        <v>0.4405</v>
      </c>
      <c r="AB41" s="9">
        <f t="shared" si="20"/>
        <v>11.160272417707152</v>
      </c>
      <c r="AC41" s="9">
        <f t="shared" si="21"/>
        <v>11.014178330949719</v>
      </c>
      <c r="AD41" s="5">
        <v>0.97060000000000002</v>
      </c>
      <c r="AE41" s="1"/>
      <c r="AF41" s="5">
        <v>8</v>
      </c>
      <c r="AG41" s="5">
        <v>20</v>
      </c>
      <c r="AH41" s="5">
        <v>4.5</v>
      </c>
      <c r="AI41" s="5">
        <f t="shared" si="22"/>
        <v>270</v>
      </c>
      <c r="AJ41" s="5">
        <f t="shared" si="23"/>
        <v>0.27</v>
      </c>
      <c r="AK41" s="5">
        <f t="shared" si="24"/>
        <v>7.0650000000000004</v>
      </c>
      <c r="AL41" s="23">
        <f t="shared" si="25"/>
        <v>38.216560509554135</v>
      </c>
      <c r="AM41" s="5">
        <f t="shared" si="26"/>
        <v>20</v>
      </c>
      <c r="AN41" s="5">
        <v>0.55469999999999997</v>
      </c>
      <c r="AO41" s="5">
        <v>-4.8227000000000002</v>
      </c>
      <c r="AP41" s="5">
        <f t="shared" si="27"/>
        <v>0.55469999999999997</v>
      </c>
      <c r="AQ41" s="9">
        <f t="shared" si="28"/>
        <v>8.6942491436812706</v>
      </c>
      <c r="AR41" s="9">
        <f t="shared" si="29"/>
        <v>8.6445786240004558</v>
      </c>
      <c r="AS41" s="9">
        <v>0.97809999999999997</v>
      </c>
      <c r="AT41" s="1"/>
      <c r="AU41" s="1"/>
    </row>
    <row r="42" spans="1:47">
      <c r="A42" s="1"/>
      <c r="B42" s="5">
        <v>9</v>
      </c>
      <c r="C42" s="5">
        <v>20</v>
      </c>
      <c r="D42" s="5">
        <v>4.5</v>
      </c>
      <c r="E42" s="5">
        <f t="shared" si="6"/>
        <v>270</v>
      </c>
      <c r="F42" s="5">
        <f t="shared" si="7"/>
        <v>0.27</v>
      </c>
      <c r="G42" s="5">
        <f t="shared" si="8"/>
        <v>7.0650000000000004</v>
      </c>
      <c r="H42" s="23">
        <f t="shared" si="9"/>
        <v>38.216560509554135</v>
      </c>
      <c r="I42" s="5">
        <f t="shared" si="10"/>
        <v>10</v>
      </c>
      <c r="J42" s="5">
        <v>0.3795</v>
      </c>
      <c r="K42" s="34">
        <v>-5.1387</v>
      </c>
      <c r="L42" s="5">
        <f t="shared" si="11"/>
        <v>0.3795</v>
      </c>
      <c r="M42" s="9">
        <f t="shared" si="12"/>
        <v>13.540711462450593</v>
      </c>
      <c r="N42" s="9">
        <f t="shared" si="13"/>
        <v>13.128928278182713</v>
      </c>
      <c r="O42" s="5">
        <v>0.96660000000000001</v>
      </c>
      <c r="P42" s="1"/>
      <c r="Q42" s="5">
        <v>9</v>
      </c>
      <c r="R42" s="5">
        <v>20</v>
      </c>
      <c r="S42" s="5">
        <v>4.5</v>
      </c>
      <c r="T42" s="5">
        <f t="shared" si="14"/>
        <v>270</v>
      </c>
      <c r="U42" s="5">
        <f t="shared" si="15"/>
        <v>0.27</v>
      </c>
      <c r="V42" s="5">
        <f t="shared" si="16"/>
        <v>7.0650000000000004</v>
      </c>
      <c r="W42" s="23">
        <f t="shared" si="17"/>
        <v>38.216560509554135</v>
      </c>
      <c r="X42" s="5">
        <f t="shared" si="18"/>
        <v>15</v>
      </c>
      <c r="Y42" s="5">
        <v>0.4405</v>
      </c>
      <c r="Z42" s="34">
        <v>-4.9161000000000001</v>
      </c>
      <c r="AA42" s="5">
        <f t="shared" si="19"/>
        <v>0.4405</v>
      </c>
      <c r="AB42" s="9">
        <f t="shared" si="20"/>
        <v>11.160272417707152</v>
      </c>
      <c r="AC42" s="9">
        <f t="shared" si="21"/>
        <v>11.014178330949719</v>
      </c>
      <c r="AD42" s="5">
        <v>0.97060000000000002</v>
      </c>
      <c r="AE42" s="1"/>
      <c r="AF42" s="5">
        <v>9</v>
      </c>
      <c r="AG42" s="5">
        <v>20</v>
      </c>
      <c r="AH42" s="5">
        <v>4.5</v>
      </c>
      <c r="AI42" s="5">
        <f t="shared" si="22"/>
        <v>270</v>
      </c>
      <c r="AJ42" s="5">
        <f t="shared" si="23"/>
        <v>0.27</v>
      </c>
      <c r="AK42" s="5">
        <f t="shared" si="24"/>
        <v>7.0650000000000004</v>
      </c>
      <c r="AL42" s="23">
        <f t="shared" si="25"/>
        <v>38.216560509554135</v>
      </c>
      <c r="AM42" s="5">
        <f t="shared" si="26"/>
        <v>20</v>
      </c>
      <c r="AN42" s="5">
        <v>0.55469999999999997</v>
      </c>
      <c r="AO42" s="5">
        <v>-4.8227000000000002</v>
      </c>
      <c r="AP42" s="5">
        <f t="shared" si="27"/>
        <v>0.55469999999999997</v>
      </c>
      <c r="AQ42" s="9">
        <f t="shared" si="28"/>
        <v>8.6942491436812706</v>
      </c>
      <c r="AR42" s="9">
        <f t="shared" si="29"/>
        <v>8.6445786240004558</v>
      </c>
      <c r="AS42" s="9">
        <v>0.97809999999999997</v>
      </c>
      <c r="AT42" s="1"/>
      <c r="AU42" s="1"/>
    </row>
    <row r="43" spans="1:47">
      <c r="A43" s="1"/>
      <c r="B43" s="5">
        <v>10</v>
      </c>
      <c r="C43" s="5">
        <v>20</v>
      </c>
      <c r="D43" s="5">
        <v>4.5</v>
      </c>
      <c r="E43" s="5">
        <f t="shared" si="6"/>
        <v>270</v>
      </c>
      <c r="F43" s="5">
        <f t="shared" si="7"/>
        <v>0.27</v>
      </c>
      <c r="G43" s="5">
        <f t="shared" si="8"/>
        <v>7.0650000000000004</v>
      </c>
      <c r="H43" s="23">
        <f t="shared" si="9"/>
        <v>38.216560509554135</v>
      </c>
      <c r="I43" s="5">
        <f t="shared" si="10"/>
        <v>10</v>
      </c>
      <c r="J43" s="5">
        <v>0.3795</v>
      </c>
      <c r="K43" s="34">
        <v>-5.1387</v>
      </c>
      <c r="L43" s="5">
        <f t="shared" si="11"/>
        <v>0.3795</v>
      </c>
      <c r="M43" s="9">
        <f t="shared" si="12"/>
        <v>13.540711462450593</v>
      </c>
      <c r="N43" s="9">
        <f t="shared" si="13"/>
        <v>13.128928278182713</v>
      </c>
      <c r="O43" s="5">
        <v>0.96660000000000001</v>
      </c>
      <c r="P43" s="1"/>
      <c r="Q43" s="5">
        <v>10</v>
      </c>
      <c r="R43" s="5">
        <v>20</v>
      </c>
      <c r="S43" s="5">
        <v>4.5</v>
      </c>
      <c r="T43" s="5">
        <f t="shared" si="14"/>
        <v>270</v>
      </c>
      <c r="U43" s="5">
        <f t="shared" si="15"/>
        <v>0.27</v>
      </c>
      <c r="V43" s="5">
        <f t="shared" si="16"/>
        <v>7.0650000000000004</v>
      </c>
      <c r="W43" s="23">
        <f t="shared" si="17"/>
        <v>38.216560509554135</v>
      </c>
      <c r="X43" s="5">
        <f t="shared" si="18"/>
        <v>15</v>
      </c>
      <c r="Y43" s="5">
        <v>0.4405</v>
      </c>
      <c r="Z43" s="34">
        <v>-4.9161000000000001</v>
      </c>
      <c r="AA43" s="5">
        <f t="shared" si="19"/>
        <v>0.4405</v>
      </c>
      <c r="AB43" s="9">
        <f t="shared" si="20"/>
        <v>11.160272417707152</v>
      </c>
      <c r="AC43" s="9">
        <f t="shared" si="21"/>
        <v>11.014178330949719</v>
      </c>
      <c r="AD43" s="5">
        <v>0.97060000000000002</v>
      </c>
      <c r="AE43" s="1"/>
      <c r="AF43" s="5">
        <v>10</v>
      </c>
      <c r="AG43" s="5">
        <v>20</v>
      </c>
      <c r="AH43" s="5">
        <v>4.5</v>
      </c>
      <c r="AI43" s="5">
        <f t="shared" si="22"/>
        <v>270</v>
      </c>
      <c r="AJ43" s="5">
        <f t="shared" si="23"/>
        <v>0.27</v>
      </c>
      <c r="AK43" s="5">
        <f t="shared" si="24"/>
        <v>7.0650000000000004</v>
      </c>
      <c r="AL43" s="23">
        <f t="shared" si="25"/>
        <v>38.216560509554135</v>
      </c>
      <c r="AM43" s="5">
        <f t="shared" si="26"/>
        <v>20</v>
      </c>
      <c r="AN43" s="5">
        <v>0.55469999999999997</v>
      </c>
      <c r="AO43" s="5">
        <v>-4.8227000000000002</v>
      </c>
      <c r="AP43" s="5">
        <f t="shared" si="27"/>
        <v>0.55469999999999997</v>
      </c>
      <c r="AQ43" s="9">
        <f t="shared" si="28"/>
        <v>8.6942491436812706</v>
      </c>
      <c r="AR43" s="9">
        <f t="shared" si="29"/>
        <v>8.6445786240004558</v>
      </c>
      <c r="AS43" s="9">
        <v>0.97809999999999997</v>
      </c>
      <c r="AT43" s="1"/>
      <c r="AU43" s="1"/>
    </row>
    <row r="44" spans="1:47">
      <c r="A44" s="1"/>
      <c r="B44" s="5">
        <v>11</v>
      </c>
      <c r="C44" s="5">
        <v>20</v>
      </c>
      <c r="D44" s="5">
        <v>4.5</v>
      </c>
      <c r="E44" s="5">
        <f t="shared" si="6"/>
        <v>270</v>
      </c>
      <c r="F44" s="5">
        <f t="shared" si="7"/>
        <v>0.27</v>
      </c>
      <c r="G44" s="5">
        <f t="shared" si="8"/>
        <v>7.0650000000000004</v>
      </c>
      <c r="H44" s="23">
        <f t="shared" si="9"/>
        <v>38.216560509554135</v>
      </c>
      <c r="I44" s="5">
        <f t="shared" si="10"/>
        <v>10</v>
      </c>
      <c r="J44" s="5">
        <v>0.3795</v>
      </c>
      <c r="K44" s="34">
        <v>-5.1387</v>
      </c>
      <c r="L44" s="5">
        <f t="shared" si="11"/>
        <v>0.3795</v>
      </c>
      <c r="M44" s="9">
        <f t="shared" si="12"/>
        <v>13.540711462450593</v>
      </c>
      <c r="N44" s="9">
        <f t="shared" si="13"/>
        <v>13.128928278182713</v>
      </c>
      <c r="O44" s="5">
        <v>0.96660000000000001</v>
      </c>
      <c r="P44" s="1"/>
      <c r="Q44" s="5">
        <v>11</v>
      </c>
      <c r="R44" s="5">
        <v>20</v>
      </c>
      <c r="S44" s="5">
        <v>4.5</v>
      </c>
      <c r="T44" s="5">
        <f t="shared" si="14"/>
        <v>270</v>
      </c>
      <c r="U44" s="5">
        <f t="shared" si="15"/>
        <v>0.27</v>
      </c>
      <c r="V44" s="5">
        <f t="shared" si="16"/>
        <v>7.0650000000000004</v>
      </c>
      <c r="W44" s="23">
        <f t="shared" si="17"/>
        <v>38.216560509554135</v>
      </c>
      <c r="X44" s="5">
        <f t="shared" si="18"/>
        <v>15</v>
      </c>
      <c r="Y44" s="5">
        <v>0.4405</v>
      </c>
      <c r="Z44" s="34">
        <v>-4.9161000000000001</v>
      </c>
      <c r="AA44" s="5">
        <f t="shared" si="19"/>
        <v>0.4405</v>
      </c>
      <c r="AB44" s="9">
        <f t="shared" si="20"/>
        <v>11.160272417707152</v>
      </c>
      <c r="AC44" s="9">
        <f t="shared" si="21"/>
        <v>11.014178330949719</v>
      </c>
      <c r="AD44" s="5">
        <v>0.97060000000000002</v>
      </c>
      <c r="AE44" s="1"/>
      <c r="AF44" s="5">
        <v>11</v>
      </c>
      <c r="AG44" s="5">
        <v>20</v>
      </c>
      <c r="AH44" s="5">
        <v>4.5</v>
      </c>
      <c r="AI44" s="5">
        <f t="shared" si="22"/>
        <v>270</v>
      </c>
      <c r="AJ44" s="5">
        <f t="shared" si="23"/>
        <v>0.27</v>
      </c>
      <c r="AK44" s="5">
        <f t="shared" si="24"/>
        <v>7.0650000000000004</v>
      </c>
      <c r="AL44" s="23">
        <f t="shared" si="25"/>
        <v>38.216560509554135</v>
      </c>
      <c r="AM44" s="5">
        <f t="shared" si="26"/>
        <v>20</v>
      </c>
      <c r="AN44" s="5">
        <v>0.55469999999999997</v>
      </c>
      <c r="AO44" s="5">
        <v>-4.8227000000000002</v>
      </c>
      <c r="AP44" s="5">
        <f t="shared" si="27"/>
        <v>0.55469999999999997</v>
      </c>
      <c r="AQ44" s="9">
        <f t="shared" si="28"/>
        <v>8.6942491436812706</v>
      </c>
      <c r="AR44" s="9">
        <f t="shared" si="29"/>
        <v>8.6445786240004558</v>
      </c>
      <c r="AS44" s="9">
        <v>0.97809999999999997</v>
      </c>
      <c r="AT44" s="1"/>
      <c r="AU44" s="1"/>
    </row>
    <row r="45" spans="1:47">
      <c r="A45" s="1"/>
      <c r="B45" s="5">
        <v>12</v>
      </c>
      <c r="C45" s="5">
        <v>20</v>
      </c>
      <c r="D45" s="5">
        <v>4.5</v>
      </c>
      <c r="E45" s="5">
        <f t="shared" si="6"/>
        <v>270</v>
      </c>
      <c r="F45" s="5">
        <f t="shared" si="7"/>
        <v>0.27</v>
      </c>
      <c r="G45" s="5">
        <f t="shared" si="8"/>
        <v>7.0650000000000004</v>
      </c>
      <c r="H45" s="23">
        <f t="shared" si="9"/>
        <v>38.216560509554135</v>
      </c>
      <c r="I45" s="5">
        <f t="shared" si="10"/>
        <v>10</v>
      </c>
      <c r="J45" s="5">
        <v>0.3795</v>
      </c>
      <c r="K45" s="34">
        <v>-5.1387</v>
      </c>
      <c r="L45" s="5">
        <f t="shared" si="11"/>
        <v>0.3795</v>
      </c>
      <c r="M45" s="9">
        <f t="shared" si="12"/>
        <v>13.540711462450593</v>
      </c>
      <c r="N45" s="9">
        <f t="shared" si="13"/>
        <v>13.128928278182713</v>
      </c>
      <c r="O45" s="5">
        <v>0.96660000000000001</v>
      </c>
      <c r="P45" s="1"/>
      <c r="Q45" s="5">
        <v>12</v>
      </c>
      <c r="R45" s="5">
        <v>20</v>
      </c>
      <c r="S45" s="5">
        <v>4.5</v>
      </c>
      <c r="T45" s="5">
        <f t="shared" si="14"/>
        <v>270</v>
      </c>
      <c r="U45" s="5">
        <f t="shared" si="15"/>
        <v>0.27</v>
      </c>
      <c r="V45" s="5">
        <f t="shared" si="16"/>
        <v>7.0650000000000004</v>
      </c>
      <c r="W45" s="23">
        <f t="shared" si="17"/>
        <v>38.216560509554135</v>
      </c>
      <c r="X45" s="5">
        <f t="shared" si="18"/>
        <v>15</v>
      </c>
      <c r="Y45" s="5">
        <v>0.4405</v>
      </c>
      <c r="Z45" s="34">
        <v>-4.9161000000000001</v>
      </c>
      <c r="AA45" s="5">
        <f t="shared" si="19"/>
        <v>0.4405</v>
      </c>
      <c r="AB45" s="9">
        <f t="shared" si="20"/>
        <v>11.160272417707152</v>
      </c>
      <c r="AC45" s="9">
        <f t="shared" si="21"/>
        <v>11.014178330949719</v>
      </c>
      <c r="AD45" s="5">
        <v>0.97060000000000002</v>
      </c>
      <c r="AE45" s="1"/>
      <c r="AF45" s="5">
        <v>12</v>
      </c>
      <c r="AG45" s="5">
        <v>20</v>
      </c>
      <c r="AH45" s="5">
        <v>4.5</v>
      </c>
      <c r="AI45" s="5">
        <f t="shared" si="22"/>
        <v>270</v>
      </c>
      <c r="AJ45" s="5">
        <f t="shared" si="23"/>
        <v>0.27</v>
      </c>
      <c r="AK45" s="5">
        <f t="shared" si="24"/>
        <v>7.0650000000000004</v>
      </c>
      <c r="AL45" s="23">
        <f t="shared" si="25"/>
        <v>38.216560509554135</v>
      </c>
      <c r="AM45" s="5">
        <f t="shared" si="26"/>
        <v>20</v>
      </c>
      <c r="AN45" s="5">
        <v>0.55469999999999997</v>
      </c>
      <c r="AO45" s="5">
        <v>-4.8227000000000002</v>
      </c>
      <c r="AP45" s="5">
        <f t="shared" si="27"/>
        <v>0.55469999999999997</v>
      </c>
      <c r="AQ45" s="9">
        <f t="shared" si="28"/>
        <v>8.6942491436812706</v>
      </c>
      <c r="AR45" s="9">
        <f t="shared" si="29"/>
        <v>8.6445786240004558</v>
      </c>
      <c r="AS45" s="9">
        <v>0.97809999999999997</v>
      </c>
      <c r="AT45" s="1"/>
      <c r="AU45" s="1"/>
    </row>
    <row r="46" spans="1:47">
      <c r="A46" s="1"/>
      <c r="B46" s="5">
        <v>13</v>
      </c>
      <c r="C46" s="5">
        <v>20</v>
      </c>
      <c r="D46" s="5">
        <v>4.5</v>
      </c>
      <c r="E46" s="5">
        <f t="shared" si="6"/>
        <v>270</v>
      </c>
      <c r="F46" s="5">
        <f t="shared" si="7"/>
        <v>0.27</v>
      </c>
      <c r="G46" s="5">
        <f t="shared" si="8"/>
        <v>7.0650000000000004</v>
      </c>
      <c r="H46" s="23">
        <f t="shared" si="9"/>
        <v>38.216560509554135</v>
      </c>
      <c r="I46" s="5">
        <f t="shared" si="10"/>
        <v>10</v>
      </c>
      <c r="J46" s="5">
        <v>0.3795</v>
      </c>
      <c r="K46" s="34">
        <v>-5.1387</v>
      </c>
      <c r="L46" s="5">
        <f t="shared" si="11"/>
        <v>0.3795</v>
      </c>
      <c r="M46" s="9">
        <f t="shared" si="12"/>
        <v>13.540711462450593</v>
      </c>
      <c r="N46" s="9">
        <f t="shared" si="13"/>
        <v>13.128928278182713</v>
      </c>
      <c r="O46" s="5">
        <v>0.96660000000000001</v>
      </c>
      <c r="P46" s="1"/>
      <c r="Q46" s="5">
        <v>13</v>
      </c>
      <c r="R46" s="5">
        <v>20</v>
      </c>
      <c r="S46" s="5">
        <v>4.5</v>
      </c>
      <c r="T46" s="5">
        <f t="shared" si="14"/>
        <v>270</v>
      </c>
      <c r="U46" s="5">
        <f t="shared" si="15"/>
        <v>0.27</v>
      </c>
      <c r="V46" s="5">
        <f t="shared" si="16"/>
        <v>7.0650000000000004</v>
      </c>
      <c r="W46" s="23">
        <f t="shared" si="17"/>
        <v>38.216560509554135</v>
      </c>
      <c r="X46" s="5">
        <f t="shared" si="18"/>
        <v>15</v>
      </c>
      <c r="Y46" s="5">
        <v>0.4405</v>
      </c>
      <c r="Z46" s="34">
        <v>-4.9161000000000001</v>
      </c>
      <c r="AA46" s="5">
        <f t="shared" si="19"/>
        <v>0.4405</v>
      </c>
      <c r="AB46" s="9">
        <f t="shared" si="20"/>
        <v>11.160272417707152</v>
      </c>
      <c r="AC46" s="9">
        <f t="shared" si="21"/>
        <v>11.014178330949719</v>
      </c>
      <c r="AD46" s="5">
        <v>0.97060000000000002</v>
      </c>
      <c r="AE46" s="1"/>
      <c r="AF46" s="35">
        <v>13</v>
      </c>
      <c r="AG46" s="35">
        <v>20</v>
      </c>
      <c r="AH46" s="35">
        <v>4.5</v>
      </c>
      <c r="AI46" s="35">
        <f t="shared" si="22"/>
        <v>270</v>
      </c>
      <c r="AJ46" s="35">
        <f t="shared" si="23"/>
        <v>0.27</v>
      </c>
      <c r="AK46" s="35">
        <f t="shared" si="24"/>
        <v>7.0650000000000004</v>
      </c>
      <c r="AL46" s="36">
        <f t="shared" si="25"/>
        <v>38.216560509554135</v>
      </c>
      <c r="AM46" s="35">
        <f t="shared" si="26"/>
        <v>20</v>
      </c>
      <c r="AN46" s="35">
        <v>0.55469999999999997</v>
      </c>
      <c r="AO46" s="35">
        <v>-4.8227000000000002</v>
      </c>
      <c r="AP46" s="35">
        <f t="shared" si="27"/>
        <v>0.55469999999999997</v>
      </c>
      <c r="AQ46" s="64">
        <f t="shared" si="28"/>
        <v>8.6942491436812706</v>
      </c>
      <c r="AR46" s="9">
        <f t="shared" si="29"/>
        <v>8.6445786240004558</v>
      </c>
      <c r="AS46" s="64">
        <v>0.97809999999999997</v>
      </c>
      <c r="AT46" s="1"/>
      <c r="AU46" s="1"/>
    </row>
    <row r="47" spans="1:47">
      <c r="A47" s="1"/>
      <c r="B47" s="5">
        <v>14</v>
      </c>
      <c r="C47" s="5">
        <v>20</v>
      </c>
      <c r="D47" s="5">
        <v>4.5</v>
      </c>
      <c r="E47" s="5">
        <f t="shared" si="6"/>
        <v>270</v>
      </c>
      <c r="F47" s="5">
        <f t="shared" si="7"/>
        <v>0.27</v>
      </c>
      <c r="G47" s="5">
        <f t="shared" si="8"/>
        <v>7.0650000000000004</v>
      </c>
      <c r="H47" s="23">
        <f t="shared" si="9"/>
        <v>38.216560509554135</v>
      </c>
      <c r="I47" s="5">
        <f t="shared" si="10"/>
        <v>10</v>
      </c>
      <c r="J47" s="5">
        <v>0.3795</v>
      </c>
      <c r="K47" s="34">
        <v>-5.1387</v>
      </c>
      <c r="L47" s="5">
        <f t="shared" si="11"/>
        <v>0.3795</v>
      </c>
      <c r="M47" s="9">
        <f t="shared" si="12"/>
        <v>13.540711462450593</v>
      </c>
      <c r="N47" s="9">
        <f t="shared" si="13"/>
        <v>13.128928278182713</v>
      </c>
      <c r="O47" s="5">
        <v>0.96660000000000001</v>
      </c>
      <c r="P47" s="1"/>
      <c r="Q47" s="5">
        <v>14</v>
      </c>
      <c r="R47" s="5">
        <v>20</v>
      </c>
      <c r="S47" s="5">
        <v>4.5</v>
      </c>
      <c r="T47" s="5">
        <f t="shared" si="14"/>
        <v>270</v>
      </c>
      <c r="U47" s="5">
        <f t="shared" si="15"/>
        <v>0.27</v>
      </c>
      <c r="V47" s="5">
        <f t="shared" si="16"/>
        <v>7.0650000000000004</v>
      </c>
      <c r="W47" s="23">
        <f t="shared" si="17"/>
        <v>38.216560509554135</v>
      </c>
      <c r="X47" s="5">
        <f t="shared" si="18"/>
        <v>15</v>
      </c>
      <c r="Y47" s="5">
        <v>0.4405</v>
      </c>
      <c r="Z47" s="34">
        <v>-4.9161000000000001</v>
      </c>
      <c r="AA47" s="5">
        <f t="shared" si="19"/>
        <v>0.4405</v>
      </c>
      <c r="AB47" s="9">
        <f t="shared" si="20"/>
        <v>11.160272417707152</v>
      </c>
      <c r="AC47" s="9">
        <f t="shared" si="21"/>
        <v>11.014178330949719</v>
      </c>
      <c r="AD47" s="5">
        <v>0.97060000000000002</v>
      </c>
      <c r="AE47" s="1"/>
      <c r="AF47" s="68">
        <v>14</v>
      </c>
      <c r="AG47" s="68">
        <v>20</v>
      </c>
      <c r="AH47" s="68">
        <v>4.5</v>
      </c>
      <c r="AI47" s="68">
        <f t="shared" si="22"/>
        <v>270</v>
      </c>
      <c r="AJ47" s="68">
        <f t="shared" si="23"/>
        <v>0.27</v>
      </c>
      <c r="AK47" s="68">
        <f t="shared" si="24"/>
        <v>7.0650000000000004</v>
      </c>
      <c r="AL47" s="69">
        <f t="shared" si="25"/>
        <v>38.216560509554135</v>
      </c>
      <c r="AM47" s="68">
        <f t="shared" si="26"/>
        <v>20</v>
      </c>
      <c r="AN47" s="68">
        <v>0.55469999999999997</v>
      </c>
      <c r="AO47" s="68">
        <v>-4.8227000000000002</v>
      </c>
      <c r="AP47" s="68">
        <f t="shared" si="27"/>
        <v>0.55469999999999997</v>
      </c>
      <c r="AQ47" s="70">
        <f t="shared" si="28"/>
        <v>8.6942491436812706</v>
      </c>
      <c r="AR47" s="9">
        <f t="shared" si="29"/>
        <v>8.6445786240004558</v>
      </c>
      <c r="AS47" s="70">
        <v>0.97809999999999997</v>
      </c>
      <c r="AT47" s="1"/>
      <c r="AU47" s="1"/>
    </row>
    <row r="48" spans="1:47">
      <c r="A48" s="1"/>
      <c r="B48" s="5">
        <v>15</v>
      </c>
      <c r="C48" s="5">
        <v>20</v>
      </c>
      <c r="D48" s="5">
        <v>4.5</v>
      </c>
      <c r="E48" s="5">
        <f t="shared" si="6"/>
        <v>270</v>
      </c>
      <c r="F48" s="5">
        <f t="shared" si="7"/>
        <v>0.27</v>
      </c>
      <c r="G48" s="5">
        <f t="shared" si="8"/>
        <v>7.0650000000000004</v>
      </c>
      <c r="H48" s="23">
        <f t="shared" si="9"/>
        <v>38.216560509554135</v>
      </c>
      <c r="I48" s="5">
        <f t="shared" si="10"/>
        <v>10</v>
      </c>
      <c r="J48" s="5">
        <v>0.3795</v>
      </c>
      <c r="K48" s="34">
        <v>-5.1387</v>
      </c>
      <c r="L48" s="5">
        <f t="shared" si="11"/>
        <v>0.3795</v>
      </c>
      <c r="M48" s="9">
        <f t="shared" si="12"/>
        <v>13.540711462450593</v>
      </c>
      <c r="N48" s="9">
        <f t="shared" si="13"/>
        <v>13.128928278182713</v>
      </c>
      <c r="O48" s="5">
        <v>0.96660000000000001</v>
      </c>
      <c r="P48" s="1"/>
      <c r="Q48" s="5">
        <v>15</v>
      </c>
      <c r="R48" s="5">
        <v>20</v>
      </c>
      <c r="S48" s="5">
        <v>4.5</v>
      </c>
      <c r="T48" s="5">
        <f t="shared" si="14"/>
        <v>270</v>
      </c>
      <c r="U48" s="5">
        <f t="shared" si="15"/>
        <v>0.27</v>
      </c>
      <c r="V48" s="5">
        <f t="shared" si="16"/>
        <v>7.0650000000000004</v>
      </c>
      <c r="W48" s="23">
        <f t="shared" si="17"/>
        <v>38.216560509554135</v>
      </c>
      <c r="X48" s="5">
        <f t="shared" si="18"/>
        <v>15</v>
      </c>
      <c r="Y48" s="5">
        <v>0.4405</v>
      </c>
      <c r="Z48" s="34">
        <v>-4.9161000000000001</v>
      </c>
      <c r="AA48" s="5">
        <f t="shared" si="19"/>
        <v>0.4405</v>
      </c>
      <c r="AB48" s="9">
        <f t="shared" si="20"/>
        <v>11.160272417707152</v>
      </c>
      <c r="AC48" s="9">
        <f t="shared" si="21"/>
        <v>11.014178330949719</v>
      </c>
      <c r="AD48" s="5">
        <v>0.97060000000000002</v>
      </c>
      <c r="AE48" s="1"/>
      <c r="AF48" s="65"/>
      <c r="AG48" s="65"/>
      <c r="AH48" s="65"/>
      <c r="AI48" s="65"/>
      <c r="AJ48" s="65"/>
      <c r="AK48" s="65"/>
      <c r="AL48" s="66"/>
      <c r="AM48" s="65"/>
      <c r="AN48" s="65"/>
      <c r="AO48" s="65"/>
      <c r="AP48" s="65"/>
      <c r="AQ48" s="67"/>
      <c r="AR48" s="67"/>
      <c r="AS48" s="67"/>
      <c r="AT48" s="1"/>
      <c r="AU48" s="1"/>
    </row>
    <row r="49" spans="1:47">
      <c r="A49" s="1"/>
      <c r="B49" s="5">
        <v>16</v>
      </c>
      <c r="C49" s="5">
        <v>20</v>
      </c>
      <c r="D49" s="5">
        <v>4.5</v>
      </c>
      <c r="E49" s="5">
        <f t="shared" si="6"/>
        <v>270</v>
      </c>
      <c r="F49" s="5">
        <f t="shared" si="7"/>
        <v>0.27</v>
      </c>
      <c r="G49" s="5">
        <f t="shared" si="8"/>
        <v>7.0650000000000004</v>
      </c>
      <c r="H49" s="23">
        <f t="shared" si="9"/>
        <v>38.216560509554135</v>
      </c>
      <c r="I49" s="5">
        <f t="shared" si="10"/>
        <v>10</v>
      </c>
      <c r="J49" s="5">
        <v>0.3795</v>
      </c>
      <c r="K49" s="34">
        <v>-5.1387</v>
      </c>
      <c r="L49" s="5">
        <f t="shared" si="11"/>
        <v>0.3795</v>
      </c>
      <c r="M49" s="9">
        <f t="shared" si="12"/>
        <v>13.540711462450593</v>
      </c>
      <c r="N49" s="9">
        <f t="shared" si="13"/>
        <v>13.128928278182713</v>
      </c>
      <c r="O49" s="5">
        <v>0.96660000000000001</v>
      </c>
      <c r="P49" s="1"/>
      <c r="Q49" s="5">
        <v>16</v>
      </c>
      <c r="R49" s="5">
        <v>20</v>
      </c>
      <c r="S49" s="5">
        <v>4.5</v>
      </c>
      <c r="T49" s="5">
        <f t="shared" si="14"/>
        <v>270</v>
      </c>
      <c r="U49" s="5">
        <f t="shared" si="15"/>
        <v>0.27</v>
      </c>
      <c r="V49" s="5">
        <f t="shared" si="16"/>
        <v>7.0650000000000004</v>
      </c>
      <c r="W49" s="23">
        <f t="shared" si="17"/>
        <v>38.216560509554135</v>
      </c>
      <c r="X49" s="5">
        <f t="shared" si="18"/>
        <v>15</v>
      </c>
      <c r="Y49" s="5">
        <v>0.4405</v>
      </c>
      <c r="Z49" s="34">
        <v>-4.9161000000000001</v>
      </c>
      <c r="AA49" s="5">
        <f t="shared" si="19"/>
        <v>0.4405</v>
      </c>
      <c r="AB49" s="9">
        <f t="shared" si="20"/>
        <v>11.160272417707152</v>
      </c>
      <c r="AC49" s="9">
        <f t="shared" si="21"/>
        <v>11.014178330949719</v>
      </c>
      <c r="AD49" s="5">
        <v>0.97060000000000002</v>
      </c>
      <c r="AE49" s="1"/>
      <c r="AF49" s="65"/>
      <c r="AG49" s="65"/>
      <c r="AH49" s="65"/>
      <c r="AI49" s="65"/>
      <c r="AJ49" s="65"/>
      <c r="AK49" s="65"/>
      <c r="AL49" s="66"/>
      <c r="AM49" s="65"/>
      <c r="AN49" s="65"/>
      <c r="AO49" s="65"/>
      <c r="AP49" s="65"/>
      <c r="AQ49" s="67"/>
      <c r="AR49" s="67"/>
      <c r="AS49" s="67"/>
      <c r="AT49" s="1"/>
      <c r="AU49" s="1"/>
    </row>
    <row r="50" spans="1:47">
      <c r="A50" s="1"/>
      <c r="B50" s="5">
        <v>17</v>
      </c>
      <c r="C50" s="5">
        <v>20</v>
      </c>
      <c r="D50" s="5">
        <v>4.5</v>
      </c>
      <c r="E50" s="5">
        <f t="shared" si="6"/>
        <v>270</v>
      </c>
      <c r="F50" s="5">
        <f t="shared" si="7"/>
        <v>0.27</v>
      </c>
      <c r="G50" s="5">
        <f t="shared" si="8"/>
        <v>7.0650000000000004</v>
      </c>
      <c r="H50" s="23">
        <f t="shared" si="9"/>
        <v>38.216560509554135</v>
      </c>
      <c r="I50" s="5">
        <f t="shared" si="10"/>
        <v>10</v>
      </c>
      <c r="J50" s="5">
        <v>0.3795</v>
      </c>
      <c r="K50" s="34">
        <v>-5.1387</v>
      </c>
      <c r="L50" s="5">
        <f t="shared" si="11"/>
        <v>0.3795</v>
      </c>
      <c r="M50" s="9">
        <f t="shared" si="12"/>
        <v>13.540711462450593</v>
      </c>
      <c r="N50" s="9">
        <f t="shared" si="13"/>
        <v>13.128928278182713</v>
      </c>
      <c r="O50" s="5">
        <v>0.96660000000000001</v>
      </c>
      <c r="P50" s="1"/>
      <c r="Q50" s="35">
        <v>17</v>
      </c>
      <c r="R50" s="35">
        <v>20</v>
      </c>
      <c r="S50" s="35">
        <v>4.5</v>
      </c>
      <c r="T50" s="35">
        <f t="shared" si="14"/>
        <v>270</v>
      </c>
      <c r="U50" s="35">
        <f t="shared" si="15"/>
        <v>0.27</v>
      </c>
      <c r="V50" s="35">
        <f t="shared" si="16"/>
        <v>7.0650000000000004</v>
      </c>
      <c r="W50" s="36">
        <f t="shared" si="17"/>
        <v>38.216560509554135</v>
      </c>
      <c r="X50" s="35">
        <f t="shared" si="18"/>
        <v>15</v>
      </c>
      <c r="Y50" s="35">
        <v>0.4405</v>
      </c>
      <c r="Z50" s="34">
        <v>-4.9161000000000001</v>
      </c>
      <c r="AA50" s="5">
        <f t="shared" si="19"/>
        <v>0.4405</v>
      </c>
      <c r="AB50" s="9">
        <f t="shared" si="20"/>
        <v>11.160272417707152</v>
      </c>
      <c r="AC50" s="9">
        <f t="shared" si="21"/>
        <v>11.014178330949719</v>
      </c>
      <c r="AD50" s="5">
        <v>0.97060000000000002</v>
      </c>
      <c r="AE50" s="1"/>
      <c r="AF50" s="65"/>
      <c r="AG50" s="65"/>
      <c r="AH50" s="65"/>
      <c r="AI50" s="65"/>
      <c r="AJ50" s="65"/>
      <c r="AK50" s="65"/>
      <c r="AL50" s="66"/>
      <c r="AM50" s="65"/>
      <c r="AN50" s="65"/>
      <c r="AO50" s="65"/>
      <c r="AP50" s="65"/>
      <c r="AQ50" s="67"/>
      <c r="AR50" s="67"/>
      <c r="AS50" s="67"/>
      <c r="AT50" s="1"/>
      <c r="AU50" s="1"/>
    </row>
    <row r="51" spans="1:47">
      <c r="A51" s="1"/>
      <c r="B51" s="5">
        <v>18</v>
      </c>
      <c r="C51" s="5">
        <v>20</v>
      </c>
      <c r="D51" s="5">
        <v>4.5</v>
      </c>
      <c r="E51" s="5">
        <f t="shared" si="6"/>
        <v>270</v>
      </c>
      <c r="F51" s="5">
        <f t="shared" si="7"/>
        <v>0.27</v>
      </c>
      <c r="G51" s="5">
        <f t="shared" si="8"/>
        <v>7.0650000000000004</v>
      </c>
      <c r="H51" s="23">
        <f t="shared" si="9"/>
        <v>38.216560509554135</v>
      </c>
      <c r="I51" s="5">
        <f t="shared" si="10"/>
        <v>10</v>
      </c>
      <c r="J51" s="5">
        <v>0.3795</v>
      </c>
      <c r="K51" s="34">
        <v>-5.1387</v>
      </c>
      <c r="L51" s="5">
        <f t="shared" si="11"/>
        <v>0.3795</v>
      </c>
      <c r="M51" s="9">
        <f t="shared" si="12"/>
        <v>13.540711462450593</v>
      </c>
      <c r="N51" s="9">
        <f t="shared" si="13"/>
        <v>13.128928278182713</v>
      </c>
      <c r="O51" s="5">
        <v>0.96660000000000001</v>
      </c>
      <c r="P51" s="1"/>
      <c r="Q51" s="5">
        <v>18</v>
      </c>
      <c r="R51" s="5">
        <v>20</v>
      </c>
      <c r="S51" s="5">
        <v>4.5</v>
      </c>
      <c r="T51" s="5">
        <f t="shared" si="14"/>
        <v>270</v>
      </c>
      <c r="U51" s="5">
        <f t="shared" si="15"/>
        <v>0.27</v>
      </c>
      <c r="V51" s="5">
        <f t="shared" si="16"/>
        <v>7.0650000000000004</v>
      </c>
      <c r="W51" s="23">
        <f t="shared" si="17"/>
        <v>38.216560509554135</v>
      </c>
      <c r="X51" s="5">
        <f t="shared" si="18"/>
        <v>15</v>
      </c>
      <c r="Y51" s="5">
        <v>0.4405</v>
      </c>
      <c r="Z51" s="34">
        <v>-4.9161000000000001</v>
      </c>
      <c r="AA51" s="5">
        <f t="shared" si="19"/>
        <v>0.4405</v>
      </c>
      <c r="AB51" s="9">
        <f t="shared" si="20"/>
        <v>11.160272417707152</v>
      </c>
      <c r="AC51" s="9">
        <f t="shared" si="21"/>
        <v>11.014178330949719</v>
      </c>
      <c r="AD51" s="5">
        <v>0.97060000000000002</v>
      </c>
      <c r="AE51" s="1"/>
      <c r="AF51" s="65"/>
      <c r="AG51" s="65"/>
      <c r="AH51" s="65"/>
      <c r="AI51" s="65"/>
      <c r="AJ51" s="65"/>
      <c r="AK51" s="65"/>
      <c r="AL51" s="66"/>
      <c r="AM51" s="65"/>
      <c r="AN51" s="65"/>
      <c r="AO51" s="65"/>
      <c r="AP51" s="65"/>
      <c r="AQ51" s="67"/>
      <c r="AR51" s="67"/>
      <c r="AS51" s="67"/>
      <c r="AT51" s="1"/>
      <c r="AU51" s="1"/>
    </row>
    <row r="52" spans="1:47">
      <c r="A52" s="1"/>
      <c r="B52" s="5">
        <v>19</v>
      </c>
      <c r="C52" s="5">
        <v>20</v>
      </c>
      <c r="D52" s="5">
        <v>4.5</v>
      </c>
      <c r="E52" s="5">
        <f t="shared" si="6"/>
        <v>270</v>
      </c>
      <c r="F52" s="5">
        <f t="shared" si="7"/>
        <v>0.27</v>
      </c>
      <c r="G52" s="5">
        <f t="shared" si="8"/>
        <v>7.0650000000000004</v>
      </c>
      <c r="H52" s="23">
        <f t="shared" si="9"/>
        <v>38.216560509554135</v>
      </c>
      <c r="I52" s="5">
        <f t="shared" si="10"/>
        <v>10</v>
      </c>
      <c r="J52" s="5">
        <v>0.3795</v>
      </c>
      <c r="K52" s="34">
        <v>-5.1387</v>
      </c>
      <c r="L52" s="5">
        <f t="shared" si="11"/>
        <v>0.3795</v>
      </c>
      <c r="M52" s="9">
        <f t="shared" si="12"/>
        <v>13.540711462450593</v>
      </c>
      <c r="N52" s="9">
        <f t="shared" si="13"/>
        <v>13.128928278182713</v>
      </c>
      <c r="O52" s="5">
        <v>0.96660000000000001</v>
      </c>
      <c r="P52" s="1"/>
      <c r="Q52" s="1"/>
      <c r="R52" s="1"/>
      <c r="S52" s="1"/>
      <c r="T52" s="1"/>
      <c r="U52" s="1"/>
      <c r="V52" s="1"/>
      <c r="W52" s="37"/>
      <c r="X52" s="1"/>
      <c r="Y52" s="1"/>
      <c r="Z52" s="1"/>
      <c r="AA52" s="1"/>
      <c r="AB52" s="32"/>
      <c r="AC52" s="32"/>
      <c r="AD52" s="1"/>
      <c r="AE52" s="1"/>
      <c r="AF52" s="65"/>
      <c r="AG52" s="65"/>
      <c r="AH52" s="65"/>
      <c r="AI52" s="65"/>
      <c r="AJ52" s="65"/>
      <c r="AK52" s="65"/>
      <c r="AL52" s="66"/>
      <c r="AM52" s="65"/>
      <c r="AN52" s="65"/>
      <c r="AO52" s="65"/>
      <c r="AP52" s="65"/>
      <c r="AQ52" s="67"/>
      <c r="AR52" s="67"/>
      <c r="AS52" s="67"/>
      <c r="AT52" s="1"/>
      <c r="AU52" s="1"/>
    </row>
    <row r="53" spans="1:47">
      <c r="A53" s="1"/>
      <c r="B53" s="5">
        <v>20</v>
      </c>
      <c r="C53" s="5">
        <v>20</v>
      </c>
      <c r="D53" s="5">
        <v>4.5</v>
      </c>
      <c r="E53" s="5">
        <f t="shared" si="6"/>
        <v>270</v>
      </c>
      <c r="F53" s="5">
        <f t="shared" si="7"/>
        <v>0.27</v>
      </c>
      <c r="G53" s="5">
        <f t="shared" si="8"/>
        <v>7.0650000000000004</v>
      </c>
      <c r="H53" s="23">
        <f t="shared" si="9"/>
        <v>38.216560509554135</v>
      </c>
      <c r="I53" s="5">
        <f t="shared" si="10"/>
        <v>10</v>
      </c>
      <c r="J53" s="5">
        <v>0.3795</v>
      </c>
      <c r="K53" s="34">
        <v>-5.1387</v>
      </c>
      <c r="L53" s="5">
        <f t="shared" si="11"/>
        <v>0.3795</v>
      </c>
      <c r="M53" s="9">
        <f t="shared" si="12"/>
        <v>13.540711462450593</v>
      </c>
      <c r="N53" s="9">
        <f t="shared" si="13"/>
        <v>13.128928278182713</v>
      </c>
      <c r="O53" s="5">
        <v>0.96660000000000001</v>
      </c>
      <c r="P53" s="1"/>
      <c r="Q53" s="1"/>
      <c r="R53" s="1"/>
      <c r="S53" s="1"/>
      <c r="T53" s="1"/>
      <c r="U53" s="1"/>
      <c r="V53" s="1"/>
      <c r="W53" s="37"/>
      <c r="X53" s="1"/>
      <c r="Y53" s="1"/>
      <c r="Z53" s="1"/>
      <c r="AA53" s="1"/>
      <c r="AB53" s="32"/>
      <c r="AC53" s="32"/>
      <c r="AD53" s="1"/>
      <c r="AE53" s="1"/>
      <c r="AF53" s="65"/>
      <c r="AG53" s="65"/>
      <c r="AH53" s="65"/>
      <c r="AI53" s="65"/>
      <c r="AJ53" s="65"/>
      <c r="AK53" s="65"/>
      <c r="AL53" s="66"/>
      <c r="AM53" s="65"/>
      <c r="AN53" s="65"/>
      <c r="AO53" s="65"/>
      <c r="AP53" s="65"/>
      <c r="AQ53" s="67"/>
      <c r="AR53" s="67"/>
      <c r="AS53" s="67"/>
      <c r="AT53" s="1"/>
      <c r="AU53" s="1"/>
    </row>
    <row r="54" spans="1:47">
      <c r="A54" s="1"/>
      <c r="B54" s="5">
        <v>21</v>
      </c>
      <c r="C54" s="5">
        <v>20</v>
      </c>
      <c r="D54" s="5">
        <v>4.5</v>
      </c>
      <c r="E54" s="5">
        <f t="shared" si="6"/>
        <v>270</v>
      </c>
      <c r="F54" s="5">
        <f t="shared" si="7"/>
        <v>0.27</v>
      </c>
      <c r="G54" s="5">
        <f t="shared" si="8"/>
        <v>7.0650000000000004</v>
      </c>
      <c r="H54" s="23">
        <f t="shared" si="9"/>
        <v>38.216560509554135</v>
      </c>
      <c r="I54" s="5">
        <f t="shared" si="10"/>
        <v>10</v>
      </c>
      <c r="J54" s="5">
        <v>0.3795</v>
      </c>
      <c r="K54" s="34">
        <v>-5.1387</v>
      </c>
      <c r="L54" s="5">
        <f t="shared" si="11"/>
        <v>0.3795</v>
      </c>
      <c r="M54" s="9">
        <f t="shared" si="12"/>
        <v>13.540711462450593</v>
      </c>
      <c r="N54" s="9">
        <f t="shared" si="13"/>
        <v>13.128928278182713</v>
      </c>
      <c r="O54" s="5">
        <v>0.96660000000000001</v>
      </c>
      <c r="P54" s="1"/>
      <c r="Q54" s="1"/>
      <c r="R54" s="1"/>
      <c r="S54" s="1"/>
      <c r="T54" s="1"/>
      <c r="U54" s="1"/>
      <c r="V54" s="1"/>
      <c r="W54" s="37"/>
      <c r="X54" s="1"/>
      <c r="Y54" s="1"/>
      <c r="Z54" s="1"/>
      <c r="AA54" s="1"/>
      <c r="AB54" s="32"/>
      <c r="AC54" s="32"/>
      <c r="AD54" s="1"/>
      <c r="AE54" s="1"/>
      <c r="AF54" s="65"/>
      <c r="AG54" s="65"/>
      <c r="AH54" s="65"/>
      <c r="AI54" s="65"/>
      <c r="AJ54" s="65"/>
      <c r="AK54" s="65"/>
      <c r="AL54" s="66"/>
      <c r="AM54" s="65"/>
      <c r="AN54" s="65"/>
      <c r="AO54" s="65"/>
      <c r="AP54" s="65"/>
      <c r="AQ54" s="67"/>
      <c r="AR54" s="67"/>
      <c r="AS54" s="67"/>
      <c r="AT54" s="1"/>
      <c r="AU54" s="1"/>
    </row>
    <row r="55" spans="1:47">
      <c r="A55" s="1"/>
      <c r="B55" s="5">
        <v>22</v>
      </c>
      <c r="C55" s="5">
        <v>20</v>
      </c>
      <c r="D55" s="5">
        <v>4.5</v>
      </c>
      <c r="E55" s="5">
        <f t="shared" si="6"/>
        <v>270</v>
      </c>
      <c r="F55" s="5">
        <f t="shared" si="7"/>
        <v>0.27</v>
      </c>
      <c r="G55" s="5">
        <f t="shared" si="8"/>
        <v>7.0650000000000004</v>
      </c>
      <c r="H55" s="23">
        <f t="shared" si="9"/>
        <v>38.216560509554135</v>
      </c>
      <c r="I55" s="5">
        <f t="shared" si="10"/>
        <v>10</v>
      </c>
      <c r="J55" s="5">
        <v>0.3795</v>
      </c>
      <c r="K55" s="34">
        <v>-5.1387</v>
      </c>
      <c r="L55" s="5">
        <f t="shared" si="11"/>
        <v>0.3795</v>
      </c>
      <c r="M55" s="9">
        <f t="shared" si="12"/>
        <v>13.540711462450593</v>
      </c>
      <c r="N55" s="9">
        <f t="shared" si="13"/>
        <v>13.128928278182713</v>
      </c>
      <c r="O55" s="5">
        <v>0.96660000000000001</v>
      </c>
      <c r="P55" s="1"/>
      <c r="Q55" s="1"/>
      <c r="R55" s="1"/>
      <c r="S55" s="1"/>
      <c r="T55" s="1"/>
      <c r="U55" s="1"/>
      <c r="V55" s="1"/>
      <c r="W55" s="37"/>
      <c r="X55" s="1"/>
      <c r="Y55" s="1"/>
      <c r="Z55" s="1"/>
      <c r="AA55" s="1"/>
      <c r="AB55" s="32"/>
      <c r="AC55" s="32"/>
      <c r="AD55" s="1"/>
      <c r="AE55" s="1"/>
      <c r="AF55" s="65"/>
      <c r="AG55" s="65"/>
      <c r="AH55" s="65"/>
      <c r="AI55" s="65"/>
      <c r="AJ55" s="65"/>
      <c r="AK55" s="65"/>
      <c r="AL55" s="66"/>
      <c r="AM55" s="65"/>
      <c r="AN55" s="65"/>
      <c r="AO55" s="65"/>
      <c r="AP55" s="65"/>
      <c r="AQ55" s="67"/>
      <c r="AR55" s="67"/>
      <c r="AS55" s="67"/>
      <c r="AT55" s="1"/>
      <c r="AU55" s="1"/>
    </row>
    <row r="56" spans="1:4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mergeCells count="15">
    <mergeCell ref="B2:G2"/>
    <mergeCell ref="AF2:AM2"/>
    <mergeCell ref="B27:G27"/>
    <mergeCell ref="B28:G28"/>
    <mergeCell ref="B31:O31"/>
    <mergeCell ref="Q31:AD31"/>
    <mergeCell ref="AF31:AS31"/>
    <mergeCell ref="Q25:V25"/>
    <mergeCell ref="AF19:AK19"/>
    <mergeCell ref="Q23:V23"/>
    <mergeCell ref="Q24:V24"/>
    <mergeCell ref="I2:P2"/>
    <mergeCell ref="Q2:X2"/>
    <mergeCell ref="AF21:AK21"/>
    <mergeCell ref="AF20:AK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AP55"/>
  <sheetViews>
    <sheetView topLeftCell="X3" zoomScale="77" workbookViewId="0">
      <selection activeCell="H5" sqref="H5"/>
    </sheetView>
  </sheetViews>
  <sheetFormatPr defaultColWidth="12.6640625" defaultRowHeight="15.75" customHeight="1"/>
  <cols>
    <col min="5" max="6" width="15.33203125" customWidth="1"/>
    <col min="19" max="19" width="12.6640625" customWidth="1"/>
    <col min="20" max="20" width="15.109375" customWidth="1"/>
    <col min="34" max="34" width="14.21875" customWidth="1"/>
  </cols>
  <sheetData>
    <row r="2" spans="2:37" ht="35.4" customHeight="1">
      <c r="B2" s="60" t="s">
        <v>41</v>
      </c>
      <c r="C2" s="46"/>
      <c r="D2" s="46"/>
      <c r="E2" s="46"/>
      <c r="F2" s="46"/>
      <c r="G2" s="46"/>
      <c r="H2" s="46"/>
      <c r="I2" s="46"/>
      <c r="J2" s="2"/>
      <c r="K2" s="2"/>
      <c r="L2" s="2"/>
      <c r="M2" s="2"/>
      <c r="N2" s="2"/>
      <c r="O2" s="2"/>
      <c r="P2" s="60" t="s">
        <v>40</v>
      </c>
      <c r="Q2" s="55"/>
      <c r="R2" s="55"/>
      <c r="S2" s="55"/>
      <c r="T2" s="55"/>
      <c r="U2" s="55"/>
      <c r="V2" s="55"/>
      <c r="W2" s="55"/>
      <c r="AD2" s="60" t="s">
        <v>42</v>
      </c>
      <c r="AE2" s="46"/>
      <c r="AF2" s="46"/>
      <c r="AG2" s="46"/>
      <c r="AH2" s="46"/>
      <c r="AI2" s="46"/>
      <c r="AJ2" s="46"/>
      <c r="AK2" s="46"/>
    </row>
    <row r="3" spans="2:37" ht="69">
      <c r="B3" s="3" t="s">
        <v>0</v>
      </c>
      <c r="C3" s="52" t="s">
        <v>1</v>
      </c>
      <c r="D3" s="52" t="s">
        <v>2</v>
      </c>
      <c r="E3" s="52" t="s">
        <v>3</v>
      </c>
      <c r="F3" s="52" t="s">
        <v>4</v>
      </c>
      <c r="G3" s="52" t="s">
        <v>5</v>
      </c>
      <c r="H3" s="71" t="s">
        <v>44</v>
      </c>
      <c r="I3" s="3" t="s">
        <v>7</v>
      </c>
      <c r="J3" s="2"/>
      <c r="K3" s="2"/>
      <c r="L3" s="2"/>
      <c r="M3" s="2"/>
      <c r="N3" s="2"/>
      <c r="O3" s="2"/>
      <c r="P3" s="24" t="s">
        <v>0</v>
      </c>
      <c r="Q3" s="53" t="s">
        <v>1</v>
      </c>
      <c r="R3" s="53" t="s">
        <v>2</v>
      </c>
      <c r="S3" s="53" t="s">
        <v>36</v>
      </c>
      <c r="T3" s="53" t="s">
        <v>43</v>
      </c>
      <c r="U3" s="53" t="s">
        <v>5</v>
      </c>
      <c r="V3" s="73" t="s">
        <v>44</v>
      </c>
      <c r="W3" s="24" t="s">
        <v>7</v>
      </c>
      <c r="AD3" s="110" t="s">
        <v>0</v>
      </c>
      <c r="AE3" s="54" t="s">
        <v>1</v>
      </c>
      <c r="AF3" s="54" t="s">
        <v>2</v>
      </c>
      <c r="AG3" s="54" t="s">
        <v>3</v>
      </c>
      <c r="AH3" s="54" t="s">
        <v>43</v>
      </c>
      <c r="AI3" s="54" t="s">
        <v>5</v>
      </c>
      <c r="AJ3" s="72" t="s">
        <v>44</v>
      </c>
      <c r="AK3" s="28" t="s">
        <v>7</v>
      </c>
    </row>
    <row r="4" spans="2:37" ht="13.8">
      <c r="B4" s="4" t="s">
        <v>8</v>
      </c>
      <c r="C4" s="4" t="s">
        <v>9</v>
      </c>
      <c r="D4" s="4" t="s">
        <v>10</v>
      </c>
      <c r="E4" s="4" t="s">
        <v>10</v>
      </c>
      <c r="F4" s="4"/>
      <c r="G4" s="4" t="s">
        <v>11</v>
      </c>
      <c r="H4" s="4"/>
      <c r="I4" s="4"/>
      <c r="J4" s="1"/>
      <c r="K4" s="1"/>
      <c r="L4" s="1"/>
      <c r="M4" s="1"/>
      <c r="N4" s="1"/>
      <c r="O4" s="1"/>
      <c r="P4" s="25" t="s">
        <v>8</v>
      </c>
      <c r="Q4" s="25" t="s">
        <v>9</v>
      </c>
      <c r="R4" s="25" t="s">
        <v>10</v>
      </c>
      <c r="S4" s="25" t="s">
        <v>10</v>
      </c>
      <c r="T4" s="25" t="s">
        <v>33</v>
      </c>
      <c r="U4" s="25" t="s">
        <v>11</v>
      </c>
      <c r="V4" s="25"/>
      <c r="W4" s="25"/>
      <c r="AD4" s="29" t="s">
        <v>8</v>
      </c>
      <c r="AE4" s="29" t="s">
        <v>9</v>
      </c>
      <c r="AF4" s="29" t="s">
        <v>10</v>
      </c>
      <c r="AG4" s="29" t="s">
        <v>10</v>
      </c>
      <c r="AH4" s="29" t="s">
        <v>33</v>
      </c>
      <c r="AI4" s="29" t="s">
        <v>11</v>
      </c>
      <c r="AJ4" s="29"/>
      <c r="AK4" s="29"/>
    </row>
    <row r="5" spans="2:37" ht="13.8">
      <c r="B5" s="5">
        <v>1</v>
      </c>
      <c r="C5" s="5">
        <v>1</v>
      </c>
      <c r="D5" s="5">
        <v>10</v>
      </c>
      <c r="E5" s="6">
        <v>0.1232</v>
      </c>
      <c r="F5" s="7">
        <v>0.27</v>
      </c>
      <c r="G5" s="8">
        <v>0.99</v>
      </c>
      <c r="H5" s="9">
        <f>LN((D5/E5)-1)</f>
        <v>4.3841348005402123</v>
      </c>
      <c r="I5" s="9">
        <f t="shared" ref="I5:I26" si="0">E5/D5</f>
        <v>1.2320000000000001E-2</v>
      </c>
      <c r="J5" s="1"/>
      <c r="K5" s="1"/>
      <c r="L5" s="1"/>
      <c r="M5" s="1"/>
      <c r="N5" s="1"/>
      <c r="O5" s="1"/>
      <c r="P5" s="5">
        <v>1</v>
      </c>
      <c r="Q5" s="5">
        <v>1</v>
      </c>
      <c r="R5" s="6">
        <v>15</v>
      </c>
      <c r="S5" s="6">
        <v>0.26</v>
      </c>
      <c r="T5" s="6">
        <v>0.27</v>
      </c>
      <c r="U5" s="8">
        <v>0.98</v>
      </c>
      <c r="V5" s="9">
        <f>LN((R5/S5)-1)</f>
        <v>4.0376385347278001</v>
      </c>
      <c r="W5" s="9">
        <f t="shared" ref="W5:W22" si="1">S5/R5</f>
        <v>1.7333333333333333E-2</v>
      </c>
      <c r="AD5" s="5">
        <v>1</v>
      </c>
      <c r="AE5" s="5">
        <v>1</v>
      </c>
      <c r="AF5" s="6">
        <v>20</v>
      </c>
      <c r="AG5" s="6">
        <v>0.34599999999999997</v>
      </c>
      <c r="AH5" s="6">
        <v>0.27</v>
      </c>
      <c r="AI5" s="8">
        <v>0.98</v>
      </c>
      <c r="AJ5" s="9">
        <f>LN((AF5/AG5)-1)</f>
        <v>4.0395973838646482</v>
      </c>
      <c r="AK5" s="9">
        <f t="shared" ref="AK5:AK18" si="2">AG5/AF5</f>
        <v>1.7299999999999999E-2</v>
      </c>
    </row>
    <row r="6" spans="2:37" ht="13.8">
      <c r="B6" s="5">
        <v>2</v>
      </c>
      <c r="C6" s="5">
        <v>2</v>
      </c>
      <c r="D6" s="5">
        <v>10</v>
      </c>
      <c r="E6" s="6">
        <v>0.22289999999999999</v>
      </c>
      <c r="F6" s="7">
        <v>0.54</v>
      </c>
      <c r="G6" s="8">
        <v>0.98</v>
      </c>
      <c r="H6" s="9">
        <f t="shared" ref="H6:H26" si="3">LN((D6/E6)-1)</f>
        <v>3.7810749551478668</v>
      </c>
      <c r="I6" s="9">
        <f t="shared" si="0"/>
        <v>2.2289999999999997E-2</v>
      </c>
      <c r="J6" s="1"/>
      <c r="K6" s="1"/>
      <c r="L6" s="1"/>
      <c r="M6" s="1"/>
      <c r="N6" s="1"/>
      <c r="O6" s="1"/>
      <c r="P6" s="5">
        <v>2</v>
      </c>
      <c r="Q6" s="5">
        <v>2</v>
      </c>
      <c r="R6" s="6">
        <v>15</v>
      </c>
      <c r="S6" s="6">
        <v>0.501</v>
      </c>
      <c r="T6" s="6">
        <v>0.54</v>
      </c>
      <c r="U6" s="8">
        <v>0.97</v>
      </c>
      <c r="V6" s="9">
        <f t="shared" ref="V6:V22" si="4">LN((R6/S6)-1)</f>
        <v>3.3652288594283291</v>
      </c>
      <c r="W6" s="9">
        <f t="shared" si="1"/>
        <v>3.3399999999999999E-2</v>
      </c>
      <c r="AD6" s="5">
        <v>2</v>
      </c>
      <c r="AE6" s="5">
        <v>2</v>
      </c>
      <c r="AF6" s="6">
        <v>20</v>
      </c>
      <c r="AG6" s="6">
        <v>0.66800000000000004</v>
      </c>
      <c r="AH6" s="6">
        <v>0.54</v>
      </c>
      <c r="AI6" s="8">
        <v>0.97</v>
      </c>
      <c r="AJ6" s="9">
        <f t="shared" ref="AJ6:AJ18" si="5">LN((AF6/AG6)-1)</f>
        <v>3.3652288594283291</v>
      </c>
      <c r="AK6" s="9">
        <f t="shared" si="2"/>
        <v>3.3399999999999999E-2</v>
      </c>
    </row>
    <row r="7" spans="2:37" ht="13.8">
      <c r="B7" s="5">
        <v>3</v>
      </c>
      <c r="C7" s="5">
        <v>3</v>
      </c>
      <c r="D7" s="5">
        <v>10</v>
      </c>
      <c r="E7" s="6">
        <v>0.31330000000000002</v>
      </c>
      <c r="F7" s="7">
        <v>0.81</v>
      </c>
      <c r="G7" s="8">
        <v>0.97</v>
      </c>
      <c r="H7" s="9">
        <f t="shared" si="3"/>
        <v>3.431347891648326</v>
      </c>
      <c r="I7" s="9">
        <f t="shared" si="0"/>
        <v>3.1330000000000004E-2</v>
      </c>
      <c r="J7" s="1"/>
      <c r="K7" s="1"/>
      <c r="L7" s="1"/>
      <c r="M7" s="1"/>
      <c r="N7" s="1"/>
      <c r="O7" s="1"/>
      <c r="P7" s="5">
        <v>3</v>
      </c>
      <c r="Q7" s="5">
        <v>3</v>
      </c>
      <c r="R7" s="6">
        <v>15</v>
      </c>
      <c r="S7" s="6">
        <v>0.51700000000000002</v>
      </c>
      <c r="T7" s="6">
        <v>0.81</v>
      </c>
      <c r="U7" s="8">
        <v>0.97</v>
      </c>
      <c r="V7" s="9">
        <f t="shared" si="4"/>
        <v>3.3326879522924271</v>
      </c>
      <c r="W7" s="9">
        <f t="shared" si="1"/>
        <v>3.4466666666666666E-2</v>
      </c>
      <c r="AD7" s="10">
        <v>3</v>
      </c>
      <c r="AE7" s="10">
        <v>3</v>
      </c>
      <c r="AF7" s="11">
        <v>20</v>
      </c>
      <c r="AG7" s="11">
        <v>0.94599999999999995</v>
      </c>
      <c r="AH7" s="11">
        <v>0.81</v>
      </c>
      <c r="AI7" s="13">
        <v>0.95</v>
      </c>
      <c r="AJ7" s="9">
        <f t="shared" si="5"/>
        <v>3.0027897632148464</v>
      </c>
      <c r="AK7" s="9">
        <f t="shared" si="2"/>
        <v>4.7299999999999995E-2</v>
      </c>
    </row>
    <row r="8" spans="2:37" ht="13.8">
      <c r="B8" s="5">
        <v>4</v>
      </c>
      <c r="C8" s="5">
        <v>4</v>
      </c>
      <c r="D8" s="5">
        <v>10</v>
      </c>
      <c r="E8" s="6">
        <v>0.34350000000000003</v>
      </c>
      <c r="F8" s="7">
        <v>1.08</v>
      </c>
      <c r="G8" s="8">
        <v>0.97</v>
      </c>
      <c r="H8" s="9">
        <f t="shared" si="3"/>
        <v>3.3361994310502499</v>
      </c>
      <c r="I8" s="9">
        <f t="shared" si="0"/>
        <v>3.4350000000000006E-2</v>
      </c>
      <c r="J8" s="1"/>
      <c r="K8" s="1"/>
      <c r="L8" s="1"/>
      <c r="M8" s="1"/>
      <c r="N8" s="1"/>
      <c r="O8" s="1"/>
      <c r="P8" s="5">
        <v>4</v>
      </c>
      <c r="Q8" s="5">
        <v>4</v>
      </c>
      <c r="R8" s="6">
        <v>15</v>
      </c>
      <c r="S8" s="6">
        <v>0.57499999999999996</v>
      </c>
      <c r="T8" s="6">
        <v>1.08</v>
      </c>
      <c r="U8" s="8">
        <v>0.96</v>
      </c>
      <c r="V8" s="9">
        <f t="shared" si="4"/>
        <v>3.2223480505789501</v>
      </c>
      <c r="W8" s="9">
        <f t="shared" si="1"/>
        <v>3.833333333333333E-2</v>
      </c>
      <c r="AD8" s="5">
        <v>4</v>
      </c>
      <c r="AE8" s="5">
        <v>4</v>
      </c>
      <c r="AF8" s="6">
        <v>20</v>
      </c>
      <c r="AG8" s="6">
        <v>1.1759999999999999</v>
      </c>
      <c r="AH8" s="6">
        <v>1.08</v>
      </c>
      <c r="AI8" s="8">
        <v>0.94</v>
      </c>
      <c r="AJ8" s="9">
        <f t="shared" si="5"/>
        <v>2.7730138019486263</v>
      </c>
      <c r="AK8" s="9">
        <f t="shared" si="2"/>
        <v>5.8799999999999998E-2</v>
      </c>
    </row>
    <row r="9" spans="2:37" ht="13.8">
      <c r="B9" s="5">
        <v>5</v>
      </c>
      <c r="C9" s="5">
        <v>5</v>
      </c>
      <c r="D9" s="5">
        <v>10</v>
      </c>
      <c r="E9" s="6">
        <v>0.29480000000000001</v>
      </c>
      <c r="F9" s="7">
        <v>1.35</v>
      </c>
      <c r="G9" s="8">
        <v>0.97</v>
      </c>
      <c r="H9" s="9">
        <f t="shared" si="3"/>
        <v>3.4941199430096432</v>
      </c>
      <c r="I9" s="9">
        <f t="shared" si="0"/>
        <v>2.9479999999999999E-2</v>
      </c>
      <c r="J9" s="1"/>
      <c r="K9" s="1"/>
      <c r="L9" s="1"/>
      <c r="M9" s="1"/>
      <c r="N9" s="1"/>
      <c r="O9" s="1"/>
      <c r="P9" s="5">
        <v>5</v>
      </c>
      <c r="Q9" s="5">
        <v>5</v>
      </c>
      <c r="R9" s="6">
        <v>15</v>
      </c>
      <c r="S9" s="6">
        <v>0.71</v>
      </c>
      <c r="T9" s="6">
        <v>1.35</v>
      </c>
      <c r="U9" s="8">
        <v>0.95</v>
      </c>
      <c r="V9" s="9">
        <f t="shared" si="4"/>
        <v>3.002050300888552</v>
      </c>
      <c r="W9" s="9">
        <f t="shared" si="1"/>
        <v>4.7333333333333331E-2</v>
      </c>
      <c r="AD9" s="5">
        <v>5</v>
      </c>
      <c r="AE9" s="5">
        <v>5</v>
      </c>
      <c r="AF9" s="6">
        <v>20</v>
      </c>
      <c r="AG9" s="6">
        <v>2.2650000000000001</v>
      </c>
      <c r="AH9" s="6">
        <v>1.35</v>
      </c>
      <c r="AI9" s="8">
        <v>0.89</v>
      </c>
      <c r="AJ9" s="9">
        <f t="shared" si="5"/>
        <v>2.0579653292905875</v>
      </c>
      <c r="AK9" s="9">
        <f t="shared" si="2"/>
        <v>0.11325</v>
      </c>
    </row>
    <row r="10" spans="2:37" ht="13.8">
      <c r="B10" s="5">
        <v>6</v>
      </c>
      <c r="C10" s="5">
        <v>6</v>
      </c>
      <c r="D10" s="5">
        <v>10</v>
      </c>
      <c r="E10" s="6">
        <v>0.35970000000000002</v>
      </c>
      <c r="F10" s="7">
        <v>1.62</v>
      </c>
      <c r="G10" s="8">
        <v>0.96</v>
      </c>
      <c r="H10" s="9">
        <f t="shared" si="3"/>
        <v>3.2884371567507356</v>
      </c>
      <c r="I10" s="9">
        <f t="shared" si="0"/>
        <v>3.5970000000000002E-2</v>
      </c>
      <c r="J10" s="1"/>
      <c r="K10" s="1"/>
      <c r="L10" s="1"/>
      <c r="M10" s="1"/>
      <c r="N10" s="1"/>
      <c r="O10" s="1"/>
      <c r="P10" s="10">
        <v>6</v>
      </c>
      <c r="Q10" s="10">
        <v>6</v>
      </c>
      <c r="R10" s="11">
        <v>15</v>
      </c>
      <c r="S10" s="11">
        <v>0.88200000000000001</v>
      </c>
      <c r="T10" s="11">
        <v>1.62</v>
      </c>
      <c r="U10" s="13">
        <v>0.94</v>
      </c>
      <c r="V10" s="9">
        <f t="shared" si="4"/>
        <v>2.7730138019486259</v>
      </c>
      <c r="W10" s="9">
        <f t="shared" si="1"/>
        <v>5.8799999999999998E-2</v>
      </c>
      <c r="AD10" s="5">
        <v>6</v>
      </c>
      <c r="AE10" s="5">
        <v>6</v>
      </c>
      <c r="AF10" s="6">
        <v>20</v>
      </c>
      <c r="AG10" s="6">
        <v>3.6379999999999999</v>
      </c>
      <c r="AH10" s="6">
        <v>1.62</v>
      </c>
      <c r="AI10" s="8">
        <v>0.82</v>
      </c>
      <c r="AJ10" s="9">
        <f t="shared" si="5"/>
        <v>1.503527492995576</v>
      </c>
      <c r="AK10" s="9">
        <f t="shared" si="2"/>
        <v>0.18190000000000001</v>
      </c>
    </row>
    <row r="11" spans="2:37" ht="13.8">
      <c r="B11" s="5">
        <v>7</v>
      </c>
      <c r="C11" s="5">
        <v>7</v>
      </c>
      <c r="D11" s="5">
        <v>10</v>
      </c>
      <c r="E11" s="6">
        <v>0.42230000000000001</v>
      </c>
      <c r="F11" s="7">
        <v>1.89</v>
      </c>
      <c r="G11" s="8">
        <v>0.96</v>
      </c>
      <c r="H11" s="9">
        <f t="shared" si="3"/>
        <v>3.1214767966930426</v>
      </c>
      <c r="I11" s="9">
        <f t="shared" si="0"/>
        <v>4.2230000000000004E-2</v>
      </c>
      <c r="J11" s="1"/>
      <c r="K11" s="1"/>
      <c r="L11" s="1"/>
      <c r="M11" s="1"/>
      <c r="N11" s="1"/>
      <c r="O11" s="1"/>
      <c r="P11" s="5">
        <v>7</v>
      </c>
      <c r="Q11" s="5">
        <v>7</v>
      </c>
      <c r="R11" s="6">
        <v>15</v>
      </c>
      <c r="S11" s="6">
        <v>1.6990000000000001</v>
      </c>
      <c r="T11" s="6">
        <v>1.89</v>
      </c>
      <c r="U11" s="8">
        <v>0.89</v>
      </c>
      <c r="V11" s="9">
        <f t="shared" si="4"/>
        <v>2.0577993776813641</v>
      </c>
      <c r="W11" s="9">
        <f t="shared" si="1"/>
        <v>0.11326666666666667</v>
      </c>
      <c r="AD11" s="5">
        <v>7</v>
      </c>
      <c r="AE11" s="5">
        <v>7</v>
      </c>
      <c r="AF11" s="6">
        <v>20</v>
      </c>
      <c r="AG11" s="6">
        <v>5.4930000000000003</v>
      </c>
      <c r="AH11" s="6">
        <v>1.89</v>
      </c>
      <c r="AI11" s="8">
        <v>0.73</v>
      </c>
      <c r="AJ11" s="9">
        <f t="shared" si="5"/>
        <v>0.97115673719628159</v>
      </c>
      <c r="AK11" s="9">
        <f t="shared" si="2"/>
        <v>0.27465000000000001</v>
      </c>
    </row>
    <row r="12" spans="2:37" ht="13.8">
      <c r="B12" s="5">
        <v>8</v>
      </c>
      <c r="C12" s="5">
        <v>8</v>
      </c>
      <c r="D12" s="5">
        <v>10</v>
      </c>
      <c r="E12" s="6">
        <v>0.48259999999999997</v>
      </c>
      <c r="F12" s="7">
        <v>2.16</v>
      </c>
      <c r="G12" s="8">
        <v>0.95</v>
      </c>
      <c r="H12" s="9">
        <f t="shared" si="3"/>
        <v>2.981688828049661</v>
      </c>
      <c r="I12" s="9">
        <f t="shared" si="0"/>
        <v>4.8259999999999997E-2</v>
      </c>
      <c r="J12" s="1"/>
      <c r="K12" s="1"/>
      <c r="L12" s="1"/>
      <c r="M12" s="1"/>
      <c r="N12" s="1"/>
      <c r="O12" s="1"/>
      <c r="P12" s="5">
        <v>8</v>
      </c>
      <c r="Q12" s="5">
        <v>8</v>
      </c>
      <c r="R12" s="6">
        <v>15</v>
      </c>
      <c r="S12" s="6">
        <v>2.7290000000000001</v>
      </c>
      <c r="T12" s="6">
        <v>2.16</v>
      </c>
      <c r="U12" s="8">
        <v>0.82</v>
      </c>
      <c r="V12" s="9">
        <f t="shared" si="4"/>
        <v>1.5033035132682093</v>
      </c>
      <c r="W12" s="9">
        <f t="shared" si="1"/>
        <v>0.18193333333333334</v>
      </c>
      <c r="AD12" s="5">
        <v>8</v>
      </c>
      <c r="AE12" s="5">
        <v>8</v>
      </c>
      <c r="AF12" s="6">
        <v>20</v>
      </c>
      <c r="AG12" s="6">
        <v>5.5679999999999996</v>
      </c>
      <c r="AH12" s="6">
        <v>2.16</v>
      </c>
      <c r="AI12" s="8">
        <v>0.72</v>
      </c>
      <c r="AJ12" s="9">
        <f t="shared" si="5"/>
        <v>0.95241204028814941</v>
      </c>
      <c r="AK12" s="9">
        <f t="shared" si="2"/>
        <v>0.27839999999999998</v>
      </c>
    </row>
    <row r="13" spans="2:37" ht="13.8">
      <c r="B13" s="10">
        <v>9</v>
      </c>
      <c r="C13" s="10">
        <v>9</v>
      </c>
      <c r="D13" s="10">
        <v>10</v>
      </c>
      <c r="E13" s="11">
        <v>1.3373999999999999</v>
      </c>
      <c r="F13" s="12">
        <v>2.4300000000000002</v>
      </c>
      <c r="G13" s="13">
        <v>0.87</v>
      </c>
      <c r="H13" s="9">
        <f t="shared" si="3"/>
        <v>1.868287477823193</v>
      </c>
      <c r="I13" s="63">
        <f t="shared" si="0"/>
        <v>0.13374</v>
      </c>
      <c r="J13" s="1"/>
      <c r="K13" s="1"/>
      <c r="L13" s="1"/>
      <c r="M13" s="1"/>
      <c r="N13" s="1"/>
      <c r="O13" s="1"/>
      <c r="P13" s="5">
        <v>9</v>
      </c>
      <c r="Q13" s="5">
        <v>9</v>
      </c>
      <c r="R13" s="6">
        <v>15</v>
      </c>
      <c r="S13" s="6">
        <v>4.12</v>
      </c>
      <c r="T13" s="6">
        <v>2.4300000000000002</v>
      </c>
      <c r="U13" s="8">
        <v>0.73</v>
      </c>
      <c r="V13" s="9">
        <f t="shared" si="4"/>
        <v>0.97107307806636145</v>
      </c>
      <c r="W13" s="9">
        <f t="shared" si="1"/>
        <v>0.27466666666666667</v>
      </c>
      <c r="AD13" s="5">
        <v>9</v>
      </c>
      <c r="AE13" s="5">
        <v>9</v>
      </c>
      <c r="AF13" s="6">
        <v>20</v>
      </c>
      <c r="AG13" s="6">
        <v>8.24</v>
      </c>
      <c r="AH13" s="6">
        <v>2.4300000000000002</v>
      </c>
      <c r="AI13" s="8">
        <v>0.59</v>
      </c>
      <c r="AJ13" s="9">
        <f t="shared" si="5"/>
        <v>0.35570359854910039</v>
      </c>
      <c r="AK13" s="9">
        <f t="shared" si="2"/>
        <v>0.41200000000000003</v>
      </c>
    </row>
    <row r="14" spans="2:37" ht="13.8">
      <c r="B14" s="5">
        <v>10</v>
      </c>
      <c r="C14" s="5">
        <v>10</v>
      </c>
      <c r="D14" s="5">
        <v>10</v>
      </c>
      <c r="E14" s="6">
        <v>2.0053000000000001</v>
      </c>
      <c r="F14" s="7">
        <v>2.7</v>
      </c>
      <c r="G14" s="8">
        <v>0.8</v>
      </c>
      <c r="H14" s="9">
        <f t="shared" si="3"/>
        <v>1.3829851466288867</v>
      </c>
      <c r="I14" s="9">
        <f t="shared" si="0"/>
        <v>0.20053000000000001</v>
      </c>
      <c r="J14" s="1"/>
      <c r="K14" s="1"/>
      <c r="L14" s="1"/>
      <c r="M14" s="1"/>
      <c r="N14" s="1"/>
      <c r="O14" s="1"/>
      <c r="P14" s="5">
        <v>10</v>
      </c>
      <c r="Q14" s="5">
        <v>10</v>
      </c>
      <c r="R14" s="6">
        <v>15</v>
      </c>
      <c r="S14" s="6">
        <v>4.1760000000000002</v>
      </c>
      <c r="T14" s="6">
        <v>2.7</v>
      </c>
      <c r="U14" s="8">
        <v>0.72</v>
      </c>
      <c r="V14" s="9">
        <f t="shared" si="4"/>
        <v>0.9524120402881493</v>
      </c>
      <c r="W14" s="9">
        <f t="shared" si="1"/>
        <v>0.27840000000000004</v>
      </c>
      <c r="AD14" s="5">
        <v>10</v>
      </c>
      <c r="AE14" s="5">
        <v>10</v>
      </c>
      <c r="AF14" s="6">
        <v>20</v>
      </c>
      <c r="AG14" s="6">
        <v>11.728</v>
      </c>
      <c r="AH14" s="6">
        <v>2.7</v>
      </c>
      <c r="AI14" s="8">
        <v>0.41</v>
      </c>
      <c r="AJ14" s="9">
        <f t="shared" si="5"/>
        <v>-0.34910282737822224</v>
      </c>
      <c r="AK14" s="9">
        <f t="shared" si="2"/>
        <v>0.58640000000000003</v>
      </c>
    </row>
    <row r="15" spans="2:37" ht="13.8">
      <c r="B15" s="5">
        <v>11</v>
      </c>
      <c r="C15" s="5">
        <v>11</v>
      </c>
      <c r="D15" s="5">
        <v>10</v>
      </c>
      <c r="E15" s="6">
        <v>3.4662999999999999</v>
      </c>
      <c r="F15" s="7">
        <v>2.97</v>
      </c>
      <c r="G15" s="8">
        <v>0.65</v>
      </c>
      <c r="H15" s="9">
        <f t="shared" si="3"/>
        <v>0.63388565578804712</v>
      </c>
      <c r="I15" s="9">
        <f t="shared" si="0"/>
        <v>0.34662999999999999</v>
      </c>
      <c r="J15" s="1"/>
      <c r="K15" s="1"/>
      <c r="L15" s="1"/>
      <c r="M15" s="1"/>
      <c r="N15" s="1"/>
      <c r="O15" s="1"/>
      <c r="P15" s="5">
        <v>11</v>
      </c>
      <c r="Q15" s="5">
        <v>11</v>
      </c>
      <c r="R15" s="6">
        <v>15</v>
      </c>
      <c r="S15" s="6">
        <v>6.18</v>
      </c>
      <c r="T15" s="6">
        <v>2.97</v>
      </c>
      <c r="U15" s="8">
        <v>0.59</v>
      </c>
      <c r="V15" s="9">
        <f t="shared" si="4"/>
        <v>0.35570359854910072</v>
      </c>
      <c r="W15" s="9">
        <f t="shared" si="1"/>
        <v>0.41199999999999998</v>
      </c>
      <c r="AD15" s="5">
        <v>11</v>
      </c>
      <c r="AE15" s="5">
        <v>11</v>
      </c>
      <c r="AF15" s="6">
        <v>20</v>
      </c>
      <c r="AG15" s="6">
        <v>14.752000000000001</v>
      </c>
      <c r="AH15" s="6">
        <v>2.97</v>
      </c>
      <c r="AI15" s="8">
        <v>0.26</v>
      </c>
      <c r="AJ15" s="9">
        <f t="shared" si="5"/>
        <v>-1.0335316151724503</v>
      </c>
      <c r="AK15" s="9">
        <f t="shared" si="2"/>
        <v>0.73760000000000003</v>
      </c>
    </row>
    <row r="16" spans="2:37" ht="13.8">
      <c r="B16" s="5">
        <v>12</v>
      </c>
      <c r="C16" s="5">
        <v>12</v>
      </c>
      <c r="D16" s="5">
        <v>10</v>
      </c>
      <c r="E16" s="6">
        <v>3.1463000000000001</v>
      </c>
      <c r="F16" s="7">
        <v>3.24</v>
      </c>
      <c r="G16" s="8">
        <v>0.69</v>
      </c>
      <c r="H16" s="9">
        <f t="shared" si="3"/>
        <v>0.77856149315724565</v>
      </c>
      <c r="I16" s="9">
        <f t="shared" si="0"/>
        <v>0.31463000000000002</v>
      </c>
      <c r="J16" s="1"/>
      <c r="K16" s="1"/>
      <c r="L16" s="1"/>
      <c r="M16" s="1"/>
      <c r="N16" s="1"/>
      <c r="O16" s="1"/>
      <c r="P16" s="5">
        <v>12</v>
      </c>
      <c r="Q16" s="5">
        <v>12</v>
      </c>
      <c r="R16" s="6">
        <v>15</v>
      </c>
      <c r="S16" s="6">
        <v>7.33</v>
      </c>
      <c r="T16" s="6">
        <v>3.24</v>
      </c>
      <c r="U16" s="8">
        <v>0.51</v>
      </c>
      <c r="V16" s="9">
        <f t="shared" si="4"/>
        <v>4.5341099480604614E-2</v>
      </c>
      <c r="W16" s="9">
        <f t="shared" si="1"/>
        <v>0.48866666666666669</v>
      </c>
      <c r="AD16" s="5">
        <v>12</v>
      </c>
      <c r="AE16" s="5">
        <v>12</v>
      </c>
      <c r="AF16" s="6">
        <v>20</v>
      </c>
      <c r="AG16" s="6">
        <v>18.216000000000001</v>
      </c>
      <c r="AH16" s="6">
        <v>3.24</v>
      </c>
      <c r="AI16" s="8">
        <v>0.09</v>
      </c>
      <c r="AJ16" s="9">
        <f t="shared" si="5"/>
        <v>-2.3234422946036224</v>
      </c>
      <c r="AK16" s="9">
        <f t="shared" si="2"/>
        <v>0.91080000000000005</v>
      </c>
    </row>
    <row r="17" spans="2:42" ht="13.8">
      <c r="B17" s="5">
        <v>13</v>
      </c>
      <c r="C17" s="5">
        <v>13</v>
      </c>
      <c r="D17" s="5">
        <v>10</v>
      </c>
      <c r="E17" s="6">
        <v>3.2019000000000002</v>
      </c>
      <c r="F17" s="7">
        <v>3.51</v>
      </c>
      <c r="G17" s="8">
        <v>0.68</v>
      </c>
      <c r="H17" s="9">
        <f t="shared" si="3"/>
        <v>0.75289877776872316</v>
      </c>
      <c r="I17" s="9">
        <f t="shared" si="0"/>
        <v>0.32019000000000003</v>
      </c>
      <c r="J17" s="1"/>
      <c r="K17" s="1"/>
      <c r="L17" s="1"/>
      <c r="M17" s="1"/>
      <c r="N17" s="1"/>
      <c r="O17" s="1"/>
      <c r="P17" s="5">
        <v>13</v>
      </c>
      <c r="Q17" s="5">
        <v>13</v>
      </c>
      <c r="R17" s="6">
        <v>15</v>
      </c>
      <c r="S17" s="6">
        <v>8.7959999999999994</v>
      </c>
      <c r="T17" s="6">
        <v>3.51</v>
      </c>
      <c r="U17" s="8">
        <v>0.41</v>
      </c>
      <c r="V17" s="9">
        <f t="shared" si="4"/>
        <v>-0.34910282737822224</v>
      </c>
      <c r="W17" s="9">
        <f t="shared" si="1"/>
        <v>0.58639999999999992</v>
      </c>
      <c r="AD17" s="5">
        <v>13</v>
      </c>
      <c r="AE17" s="5">
        <v>13</v>
      </c>
      <c r="AF17" s="6">
        <v>20</v>
      </c>
      <c r="AG17" s="6">
        <v>18.957000000000001</v>
      </c>
      <c r="AH17" s="6">
        <v>3.51</v>
      </c>
      <c r="AI17" s="8">
        <v>0.05</v>
      </c>
      <c r="AJ17" s="9">
        <f t="shared" si="5"/>
        <v>-2.9000720804407911</v>
      </c>
      <c r="AK17" s="9">
        <f t="shared" si="2"/>
        <v>0.94785000000000008</v>
      </c>
    </row>
    <row r="18" spans="2:42" ht="13.8">
      <c r="B18" s="5">
        <v>14</v>
      </c>
      <c r="C18" s="5">
        <v>14</v>
      </c>
      <c r="D18" s="5">
        <v>10</v>
      </c>
      <c r="E18" s="6">
        <v>5.1916000000000002</v>
      </c>
      <c r="F18" s="7">
        <v>3.78</v>
      </c>
      <c r="G18" s="8">
        <v>0.48</v>
      </c>
      <c r="H18" s="9">
        <f t="shared" si="3"/>
        <v>-7.667754638350488E-2</v>
      </c>
      <c r="I18" s="9">
        <f t="shared" si="0"/>
        <v>0.51916000000000007</v>
      </c>
      <c r="J18" s="1"/>
      <c r="K18" s="1"/>
      <c r="L18" s="1"/>
      <c r="M18" s="1"/>
      <c r="N18" s="1"/>
      <c r="O18" s="1"/>
      <c r="P18" s="5">
        <v>14</v>
      </c>
      <c r="Q18" s="5">
        <v>14</v>
      </c>
      <c r="R18" s="6">
        <v>15</v>
      </c>
      <c r="S18" s="6">
        <v>11.064</v>
      </c>
      <c r="T18" s="6">
        <v>3.78</v>
      </c>
      <c r="U18" s="8">
        <v>0.26</v>
      </c>
      <c r="V18" s="9">
        <f t="shared" si="4"/>
        <v>-1.0335316151724503</v>
      </c>
      <c r="W18" s="9">
        <f t="shared" si="1"/>
        <v>0.73760000000000003</v>
      </c>
      <c r="AD18" s="15">
        <v>14</v>
      </c>
      <c r="AE18" s="15">
        <v>14</v>
      </c>
      <c r="AF18" s="16">
        <v>20</v>
      </c>
      <c r="AG18" s="16">
        <v>19.175000000000001</v>
      </c>
      <c r="AH18" s="16">
        <v>3.78</v>
      </c>
      <c r="AI18" s="18">
        <v>0.04</v>
      </c>
      <c r="AJ18" s="9">
        <f t="shared" si="5"/>
        <v>-3.1459792399007749</v>
      </c>
      <c r="AK18" s="9">
        <f t="shared" si="2"/>
        <v>0.95874999999999999</v>
      </c>
    </row>
    <row r="19" spans="2:42" ht="13.8">
      <c r="B19" s="5">
        <v>15</v>
      </c>
      <c r="C19" s="5">
        <v>15</v>
      </c>
      <c r="D19" s="5">
        <v>10</v>
      </c>
      <c r="E19" s="6">
        <v>6.1933999999999996</v>
      </c>
      <c r="F19" s="7">
        <v>4.05</v>
      </c>
      <c r="G19" s="8">
        <v>0.38</v>
      </c>
      <c r="H19" s="9">
        <f t="shared" si="3"/>
        <v>-0.4867478066507499</v>
      </c>
      <c r="I19" s="9">
        <f t="shared" si="0"/>
        <v>0.61934</v>
      </c>
      <c r="J19" s="1"/>
      <c r="K19" s="1"/>
      <c r="L19" s="1"/>
      <c r="M19" s="1"/>
      <c r="N19" s="1"/>
      <c r="O19" s="1"/>
      <c r="P19" s="5">
        <v>15</v>
      </c>
      <c r="Q19" s="5">
        <v>15</v>
      </c>
      <c r="R19" s="6">
        <v>15</v>
      </c>
      <c r="S19" s="6">
        <v>13.662000000000001</v>
      </c>
      <c r="T19" s="6">
        <v>4.05</v>
      </c>
      <c r="U19" s="8">
        <v>0.09</v>
      </c>
      <c r="V19" s="9">
        <f t="shared" si="4"/>
        <v>-2.3234422946036224</v>
      </c>
      <c r="W19" s="9">
        <f t="shared" si="1"/>
        <v>0.91080000000000005</v>
      </c>
      <c r="AD19" s="47" t="s">
        <v>12</v>
      </c>
      <c r="AE19" s="46"/>
      <c r="AF19" s="46"/>
      <c r="AG19" s="46"/>
      <c r="AH19" s="46"/>
      <c r="AI19" s="46"/>
      <c r="AJ19" s="32"/>
      <c r="AK19" s="32"/>
    </row>
    <row r="20" spans="2:42" ht="13.8">
      <c r="B20" s="5">
        <v>16</v>
      </c>
      <c r="C20" s="5">
        <v>16</v>
      </c>
      <c r="D20" s="5">
        <v>10</v>
      </c>
      <c r="E20" s="6">
        <v>6.9031000000000002</v>
      </c>
      <c r="F20" s="7">
        <v>4.32</v>
      </c>
      <c r="G20" s="8">
        <v>0.31</v>
      </c>
      <c r="H20" s="9">
        <f t="shared" si="3"/>
        <v>-0.80156897491405821</v>
      </c>
      <c r="I20" s="9">
        <f t="shared" si="0"/>
        <v>0.69030999999999998</v>
      </c>
      <c r="J20" s="1"/>
      <c r="K20" s="1"/>
      <c r="L20" s="1"/>
      <c r="M20" s="1"/>
      <c r="N20" s="1"/>
      <c r="O20" s="1"/>
      <c r="P20" s="5">
        <v>16</v>
      </c>
      <c r="Q20" s="5">
        <v>16</v>
      </c>
      <c r="R20" s="6">
        <v>15</v>
      </c>
      <c r="S20" s="6">
        <v>14.218</v>
      </c>
      <c r="T20" s="6">
        <v>4.32</v>
      </c>
      <c r="U20" s="8">
        <v>0.05</v>
      </c>
      <c r="V20" s="9">
        <f t="shared" si="4"/>
        <v>-2.9004093059441169</v>
      </c>
      <c r="W20" s="9">
        <f t="shared" si="1"/>
        <v>0.94786666666666664</v>
      </c>
      <c r="AD20" s="48" t="s">
        <v>13</v>
      </c>
      <c r="AE20" s="46"/>
      <c r="AF20" s="46"/>
      <c r="AG20" s="46"/>
      <c r="AH20" s="46"/>
      <c r="AI20" s="46"/>
      <c r="AJ20" s="32"/>
      <c r="AK20" s="32"/>
    </row>
    <row r="21" spans="2:42" ht="13.8">
      <c r="B21" s="5">
        <v>17</v>
      </c>
      <c r="C21" s="5">
        <v>17</v>
      </c>
      <c r="D21" s="5">
        <v>10</v>
      </c>
      <c r="E21" s="6">
        <v>8.0997000000000003</v>
      </c>
      <c r="F21" s="7">
        <v>4.59</v>
      </c>
      <c r="G21" s="8">
        <v>0.19</v>
      </c>
      <c r="H21" s="9">
        <f t="shared" si="3"/>
        <v>-1.449815255510293</v>
      </c>
      <c r="I21" s="9">
        <f t="shared" si="0"/>
        <v>0.80997000000000008</v>
      </c>
      <c r="J21" s="1"/>
      <c r="K21" s="1"/>
      <c r="L21" s="1"/>
      <c r="M21" s="1"/>
      <c r="N21" s="1"/>
      <c r="O21" s="1"/>
      <c r="P21" s="5">
        <v>17</v>
      </c>
      <c r="Q21" s="5">
        <v>17</v>
      </c>
      <c r="R21" s="6">
        <v>15</v>
      </c>
      <c r="S21" s="6">
        <v>14.055999999999999</v>
      </c>
      <c r="T21" s="6">
        <v>4.59</v>
      </c>
      <c r="U21" s="8">
        <v>0.06</v>
      </c>
      <c r="V21" s="9">
        <f t="shared" si="4"/>
        <v>-2.7006784637214323</v>
      </c>
      <c r="W21" s="9">
        <f t="shared" si="1"/>
        <v>0.9370666666666666</v>
      </c>
    </row>
    <row r="22" spans="2:42" ht="13.8">
      <c r="B22" s="5">
        <v>18</v>
      </c>
      <c r="C22" s="5">
        <v>18</v>
      </c>
      <c r="D22" s="5">
        <v>10</v>
      </c>
      <c r="E22" s="6">
        <v>8.5449000000000002</v>
      </c>
      <c r="F22" s="7">
        <v>4.8600000000000003</v>
      </c>
      <c r="G22" s="8">
        <v>0.15</v>
      </c>
      <c r="H22" s="9">
        <f t="shared" si="3"/>
        <v>-1.7702599869648339</v>
      </c>
      <c r="I22" s="9">
        <f t="shared" si="0"/>
        <v>0.85448999999999997</v>
      </c>
      <c r="J22" s="1"/>
      <c r="K22" s="1"/>
      <c r="L22" s="1"/>
      <c r="M22" s="1"/>
      <c r="N22" s="1"/>
      <c r="O22" s="1"/>
      <c r="P22" s="15">
        <v>18</v>
      </c>
      <c r="Q22" s="15">
        <v>18</v>
      </c>
      <c r="R22" s="16">
        <v>15</v>
      </c>
      <c r="S22" s="16">
        <v>14.381</v>
      </c>
      <c r="T22" s="16">
        <v>4.8600000000000003</v>
      </c>
      <c r="U22" s="18">
        <v>0.04</v>
      </c>
      <c r="V22" s="9">
        <f t="shared" si="4"/>
        <v>-3.1455578972017859</v>
      </c>
      <c r="W22" s="9">
        <f t="shared" si="1"/>
        <v>0.95873333333333333</v>
      </c>
    </row>
    <row r="23" spans="2:42" ht="13.8">
      <c r="B23" s="5">
        <v>19</v>
      </c>
      <c r="C23" s="5">
        <v>19</v>
      </c>
      <c r="D23" s="5">
        <v>10</v>
      </c>
      <c r="E23" s="6">
        <v>9.5189000000000004</v>
      </c>
      <c r="F23" s="7">
        <v>5.13</v>
      </c>
      <c r="G23" s="8">
        <v>0.05</v>
      </c>
      <c r="H23" s="9">
        <f t="shared" si="3"/>
        <v>-2.9849594261855397</v>
      </c>
      <c r="I23" s="9">
        <f t="shared" si="0"/>
        <v>0.95189000000000001</v>
      </c>
      <c r="J23" s="1"/>
      <c r="K23" s="1"/>
      <c r="L23" s="1"/>
      <c r="M23" s="1"/>
      <c r="N23" s="1"/>
      <c r="O23" s="1"/>
      <c r="P23" s="47" t="s">
        <v>12</v>
      </c>
      <c r="Q23" s="46"/>
      <c r="R23" s="46"/>
      <c r="S23" s="46"/>
      <c r="T23" s="46"/>
      <c r="U23" s="46"/>
      <c r="V23" s="32"/>
      <c r="W23" s="32"/>
    </row>
    <row r="24" spans="2:42" ht="13.8">
      <c r="B24" s="5">
        <v>20</v>
      </c>
      <c r="C24" s="5">
        <v>20</v>
      </c>
      <c r="D24" s="5">
        <v>10</v>
      </c>
      <c r="E24" s="6">
        <v>9.6023999999999994</v>
      </c>
      <c r="F24" s="7">
        <v>5.4</v>
      </c>
      <c r="G24" s="8">
        <v>0.04</v>
      </c>
      <c r="H24" s="9">
        <f t="shared" si="3"/>
        <v>-3.1843218714287156</v>
      </c>
      <c r="I24" s="9">
        <f t="shared" si="0"/>
        <v>0.96023999999999998</v>
      </c>
      <c r="J24" s="1"/>
      <c r="K24" s="1"/>
      <c r="L24" s="1"/>
      <c r="M24" s="1"/>
      <c r="N24" s="1"/>
      <c r="O24" s="1"/>
      <c r="P24" s="48" t="s">
        <v>13</v>
      </c>
      <c r="Q24" s="46"/>
      <c r="R24" s="46"/>
      <c r="S24" s="46"/>
      <c r="T24" s="46"/>
      <c r="U24" s="46"/>
      <c r="V24" s="32"/>
      <c r="W24" s="32"/>
    </row>
    <row r="25" spans="2:42">
      <c r="B25" s="5">
        <v>21</v>
      </c>
      <c r="C25" s="5">
        <v>21</v>
      </c>
      <c r="D25" s="5">
        <v>10</v>
      </c>
      <c r="E25" s="6">
        <v>9.2545000000000002</v>
      </c>
      <c r="F25" s="7">
        <v>5.67</v>
      </c>
      <c r="G25" s="8">
        <v>7.0000000000000007E-2</v>
      </c>
      <c r="H25" s="9">
        <f t="shared" si="3"/>
        <v>-2.5188100644919786</v>
      </c>
      <c r="I25" s="9">
        <f t="shared" si="0"/>
        <v>0.92544999999999999</v>
      </c>
      <c r="J25" s="1"/>
      <c r="K25" s="1"/>
      <c r="L25" s="1"/>
      <c r="M25" s="1"/>
      <c r="N25" s="1"/>
      <c r="O25" s="1"/>
      <c r="P25" s="1"/>
    </row>
    <row r="26" spans="2:42" ht="13.8">
      <c r="B26" s="15">
        <v>22</v>
      </c>
      <c r="C26" s="15">
        <v>22</v>
      </c>
      <c r="D26" s="15">
        <v>10</v>
      </c>
      <c r="E26" s="16">
        <v>9.4910999999999994</v>
      </c>
      <c r="F26" s="17">
        <v>5.94</v>
      </c>
      <c r="G26" s="18">
        <v>0.05</v>
      </c>
      <c r="H26" s="9">
        <f t="shared" si="3"/>
        <v>-2.925858262777743</v>
      </c>
      <c r="I26" s="63">
        <f t="shared" si="0"/>
        <v>0.9491099999999999</v>
      </c>
      <c r="J26" s="1"/>
      <c r="K26" s="1"/>
      <c r="L26" s="1"/>
      <c r="M26" s="1"/>
      <c r="N26" s="1"/>
      <c r="O26" s="1"/>
      <c r="P26" s="1"/>
    </row>
    <row r="27" spans="2:42">
      <c r="B27" s="47" t="s">
        <v>12</v>
      </c>
      <c r="C27" s="46"/>
      <c r="D27" s="46"/>
      <c r="E27" s="46"/>
      <c r="F27" s="46"/>
      <c r="G27" s="46"/>
      <c r="H27" s="1"/>
      <c r="I27" s="1"/>
      <c r="J27" s="1"/>
      <c r="K27" s="1"/>
      <c r="L27" s="1"/>
      <c r="M27" s="1"/>
      <c r="N27" s="1"/>
      <c r="O27" s="1"/>
      <c r="P27" s="1"/>
    </row>
    <row r="28" spans="2:42" ht="13.8">
      <c r="B28" s="48" t="s">
        <v>13</v>
      </c>
      <c r="C28" s="46"/>
      <c r="D28" s="46"/>
      <c r="E28" s="46"/>
      <c r="F28" s="46"/>
      <c r="G28" s="46"/>
      <c r="H28" s="1"/>
      <c r="I28" s="1"/>
      <c r="J28" s="1"/>
      <c r="K28" s="1"/>
      <c r="L28" s="1"/>
      <c r="M28" s="1"/>
      <c r="N28" s="1"/>
      <c r="O28" s="1"/>
      <c r="P28" s="1"/>
    </row>
    <row r="29" spans="2:42" ht="15.75" customHeight="1">
      <c r="L29" s="76" t="s">
        <v>48</v>
      </c>
      <c r="M29" s="76">
        <v>71.400000000000006</v>
      </c>
    </row>
    <row r="30" spans="2:42" ht="15.75" customHeight="1">
      <c r="L30" s="76" t="s">
        <v>49</v>
      </c>
      <c r="M30" s="76">
        <v>4.9800000000000004</v>
      </c>
    </row>
    <row r="31" spans="2:42" ht="13.8">
      <c r="B31" s="51"/>
      <c r="C31" s="46"/>
      <c r="D31" s="46"/>
      <c r="E31" s="46"/>
      <c r="F31" s="46"/>
      <c r="G31" s="46"/>
      <c r="H31" s="46"/>
      <c r="I31" s="46"/>
    </row>
    <row r="32" spans="2:42" ht="27.6">
      <c r="B32" s="52" t="s">
        <v>1</v>
      </c>
      <c r="C32" s="52" t="s">
        <v>14</v>
      </c>
      <c r="D32" s="52" t="s">
        <v>15</v>
      </c>
      <c r="E32" s="52" t="s">
        <v>15</v>
      </c>
      <c r="F32" s="52" t="s">
        <v>15</v>
      </c>
      <c r="G32" s="3" t="s">
        <v>21</v>
      </c>
      <c r="H32" s="52" t="s">
        <v>22</v>
      </c>
      <c r="I32" s="3" t="s">
        <v>23</v>
      </c>
      <c r="J32" s="3" t="s">
        <v>16</v>
      </c>
      <c r="K32" s="20" t="s">
        <v>24</v>
      </c>
      <c r="L32" s="74" t="s">
        <v>46</v>
      </c>
      <c r="M32" s="74" t="s">
        <v>34</v>
      </c>
      <c r="N32" s="74" t="s">
        <v>18</v>
      </c>
      <c r="P32" s="111" t="s">
        <v>1</v>
      </c>
      <c r="Q32" s="111" t="s">
        <v>14</v>
      </c>
      <c r="R32" s="111" t="s">
        <v>15</v>
      </c>
      <c r="S32" s="111" t="s">
        <v>15</v>
      </c>
      <c r="T32" s="111" t="s">
        <v>15</v>
      </c>
      <c r="U32" s="112" t="s">
        <v>21</v>
      </c>
      <c r="V32" s="111" t="s">
        <v>22</v>
      </c>
      <c r="W32" s="112" t="s">
        <v>23</v>
      </c>
      <c r="X32" s="112" t="s">
        <v>16</v>
      </c>
      <c r="Y32" s="113" t="s">
        <v>24</v>
      </c>
      <c r="Z32" s="114" t="s">
        <v>46</v>
      </c>
      <c r="AA32" s="114" t="s">
        <v>34</v>
      </c>
      <c r="AB32" s="114" t="s">
        <v>18</v>
      </c>
      <c r="AD32" s="118" t="s">
        <v>1</v>
      </c>
      <c r="AE32" s="118" t="s">
        <v>14</v>
      </c>
      <c r="AF32" s="118" t="s">
        <v>15</v>
      </c>
      <c r="AG32" s="118" t="s">
        <v>15</v>
      </c>
      <c r="AH32" s="118" t="s">
        <v>15</v>
      </c>
      <c r="AI32" s="119" t="s">
        <v>21</v>
      </c>
      <c r="AJ32" s="118" t="s">
        <v>22</v>
      </c>
      <c r="AK32" s="119" t="s">
        <v>23</v>
      </c>
      <c r="AL32" s="119" t="s">
        <v>16</v>
      </c>
      <c r="AM32" s="120" t="s">
        <v>24</v>
      </c>
      <c r="AN32" s="121" t="s">
        <v>46</v>
      </c>
      <c r="AO32" s="121" t="s">
        <v>34</v>
      </c>
      <c r="AP32" s="121" t="s">
        <v>18</v>
      </c>
    </row>
    <row r="33" spans="2:42" ht="13.8">
      <c r="B33" s="4" t="s">
        <v>9</v>
      </c>
      <c r="C33" s="4" t="s">
        <v>19</v>
      </c>
      <c r="D33" s="4" t="s">
        <v>26</v>
      </c>
      <c r="E33" s="4" t="s">
        <v>27</v>
      </c>
      <c r="F33" s="4" t="s">
        <v>20</v>
      </c>
      <c r="G33" s="4" t="s">
        <v>28</v>
      </c>
      <c r="H33" s="4" t="s">
        <v>29</v>
      </c>
      <c r="I33" s="4" t="s">
        <v>30</v>
      </c>
      <c r="J33" s="4"/>
      <c r="K33" s="21"/>
      <c r="L33" s="75" t="s">
        <v>47</v>
      </c>
      <c r="M33" s="75" t="s">
        <v>35</v>
      </c>
      <c r="N33" s="75"/>
      <c r="P33" s="115" t="s">
        <v>9</v>
      </c>
      <c r="Q33" s="115" t="s">
        <v>19</v>
      </c>
      <c r="R33" s="115" t="s">
        <v>26</v>
      </c>
      <c r="S33" s="115" t="s">
        <v>27</v>
      </c>
      <c r="T33" s="115" t="s">
        <v>20</v>
      </c>
      <c r="U33" s="115" t="s">
        <v>28</v>
      </c>
      <c r="V33" s="115" t="s">
        <v>29</v>
      </c>
      <c r="W33" s="115" t="s">
        <v>30</v>
      </c>
      <c r="X33" s="115"/>
      <c r="Y33" s="116"/>
      <c r="Z33" s="117" t="s">
        <v>47</v>
      </c>
      <c r="AA33" s="117" t="s">
        <v>35</v>
      </c>
      <c r="AB33" s="117"/>
      <c r="AD33" s="122" t="s">
        <v>9</v>
      </c>
      <c r="AE33" s="122" t="s">
        <v>19</v>
      </c>
      <c r="AF33" s="122" t="s">
        <v>26</v>
      </c>
      <c r="AG33" s="122" t="s">
        <v>27</v>
      </c>
      <c r="AH33" s="122" t="s">
        <v>20</v>
      </c>
      <c r="AI33" s="122" t="s">
        <v>28</v>
      </c>
      <c r="AJ33" s="122" t="s">
        <v>29</v>
      </c>
      <c r="AK33" s="122" t="s">
        <v>30</v>
      </c>
      <c r="AL33" s="122"/>
      <c r="AM33" s="123"/>
      <c r="AN33" s="124" t="s">
        <v>47</v>
      </c>
      <c r="AO33" s="124" t="s">
        <v>35</v>
      </c>
      <c r="AP33" s="124"/>
    </row>
    <row r="34" spans="2:42" ht="13.8">
      <c r="B34" s="5">
        <v>1</v>
      </c>
      <c r="C34" s="5">
        <v>20</v>
      </c>
      <c r="D34" s="5">
        <v>4.5</v>
      </c>
      <c r="E34" s="5">
        <f t="shared" ref="E34:E55" si="6">D34*60</f>
        <v>270</v>
      </c>
      <c r="F34" s="5">
        <f t="shared" ref="F34:F55" si="7">E34/1000</f>
        <v>0.27</v>
      </c>
      <c r="G34" s="5">
        <f t="shared" ref="G34:G55" si="8">(1/4)*3.14*3^2</f>
        <v>7.0650000000000004</v>
      </c>
      <c r="H34" s="23">
        <f t="shared" ref="H34:H55" si="9">E34/G34</f>
        <v>38.216560509554135</v>
      </c>
      <c r="I34" s="5">
        <f t="shared" ref="I34:I55" si="10">D5</f>
        <v>10</v>
      </c>
      <c r="J34" s="5">
        <v>-1.4056</v>
      </c>
      <c r="K34" s="34">
        <v>5.1387</v>
      </c>
      <c r="L34" s="9">
        <f>ABS(J34*F34)/I34</f>
        <v>3.7951200000000004E-2</v>
      </c>
      <c r="M34" s="9">
        <f>K34*F34/(L34*$M$30)</f>
        <v>7.3411174578793252</v>
      </c>
      <c r="N34" s="9">
        <v>0.96660000000000001</v>
      </c>
      <c r="P34" s="5">
        <v>1</v>
      </c>
      <c r="Q34" s="5">
        <v>20</v>
      </c>
      <c r="R34" s="5">
        <v>4.5</v>
      </c>
      <c r="S34" s="5">
        <f t="shared" ref="S34:S51" si="11">R34*60</f>
        <v>270</v>
      </c>
      <c r="T34" s="5">
        <f t="shared" ref="T34:T51" si="12">S34/1000</f>
        <v>0.27</v>
      </c>
      <c r="U34" s="5">
        <f t="shared" ref="U34:U51" si="13">(1/4)*3.14*3^2</f>
        <v>7.0650000000000004</v>
      </c>
      <c r="V34" s="23">
        <f t="shared" ref="V34:V51" si="14">S34/U34</f>
        <v>38.216560509554135</v>
      </c>
      <c r="W34" s="5">
        <f t="shared" ref="W34:W51" si="15">R5</f>
        <v>15</v>
      </c>
      <c r="X34" s="5">
        <v>-1.6314</v>
      </c>
      <c r="Y34" s="34">
        <v>4.9161000000000001</v>
      </c>
      <c r="Z34" s="9">
        <f>ABS(X34*T34)/W34</f>
        <v>2.9365200000000001E-2</v>
      </c>
      <c r="AA34" s="9">
        <f>Y34*T34/(Z34*$M$30)</f>
        <v>9.0765784727730328</v>
      </c>
      <c r="AB34" s="9">
        <v>0.97060000000000002</v>
      </c>
      <c r="AD34" s="5">
        <v>1</v>
      </c>
      <c r="AE34" s="5">
        <v>20</v>
      </c>
      <c r="AF34" s="5">
        <v>4.5</v>
      </c>
      <c r="AG34" s="5">
        <f t="shared" ref="AG34:AG47" si="16">AF34*60</f>
        <v>270</v>
      </c>
      <c r="AH34" s="5">
        <f t="shared" ref="AH34:AH47" si="17">AG34/1000</f>
        <v>0.27</v>
      </c>
      <c r="AI34" s="5">
        <f t="shared" ref="AI34:AI47" si="18">(1/4)*3.14*3^2</f>
        <v>7.0650000000000004</v>
      </c>
      <c r="AJ34" s="23">
        <f t="shared" ref="AJ34:AJ47" si="19">AG34/AI34</f>
        <v>38.216560509554135</v>
      </c>
      <c r="AK34" s="5">
        <f t="shared" ref="AK34:AK47" si="20">AF5</f>
        <v>20</v>
      </c>
      <c r="AL34" s="5">
        <v>-2.0546000000000002</v>
      </c>
      <c r="AM34" s="34">
        <v>4.8227000000000002</v>
      </c>
      <c r="AN34" s="9">
        <f>ABS(AL34*AH34)/AK34</f>
        <v>2.7737100000000004E-2</v>
      </c>
      <c r="AO34" s="9">
        <f>AM34*AH34/(AN34*$M$30)</f>
        <v>9.4267853072955692</v>
      </c>
      <c r="AP34" s="9">
        <v>0.97809999999999997</v>
      </c>
    </row>
    <row r="35" spans="2:42" ht="13.8">
      <c r="B35" s="5">
        <v>2</v>
      </c>
      <c r="C35" s="5">
        <v>20</v>
      </c>
      <c r="D35" s="5">
        <v>4.5</v>
      </c>
      <c r="E35" s="5">
        <f t="shared" si="6"/>
        <v>270</v>
      </c>
      <c r="F35" s="5">
        <f t="shared" si="7"/>
        <v>0.27</v>
      </c>
      <c r="G35" s="5">
        <f t="shared" si="8"/>
        <v>7.0650000000000004</v>
      </c>
      <c r="H35" s="23">
        <f t="shared" si="9"/>
        <v>38.216560509554135</v>
      </c>
      <c r="I35" s="5">
        <f t="shared" si="10"/>
        <v>10</v>
      </c>
      <c r="J35" s="5">
        <v>-1.4056</v>
      </c>
      <c r="K35" s="34">
        <v>5.1387</v>
      </c>
      <c r="L35" s="9">
        <f t="shared" ref="L35:N55" si="21">ABS(J35*F35)/I35</f>
        <v>3.7951200000000004E-2</v>
      </c>
      <c r="M35" s="9">
        <f t="shared" ref="M35:M55" si="22">K35*F35/(L35*$M$30)</f>
        <v>7.3411174578793252</v>
      </c>
      <c r="N35" s="9">
        <v>0.96660000000000001</v>
      </c>
      <c r="P35" s="5">
        <v>2</v>
      </c>
      <c r="Q35" s="5">
        <v>20</v>
      </c>
      <c r="R35" s="5">
        <v>4.5</v>
      </c>
      <c r="S35" s="5">
        <f t="shared" si="11"/>
        <v>270</v>
      </c>
      <c r="T35" s="5">
        <f t="shared" si="12"/>
        <v>0.27</v>
      </c>
      <c r="U35" s="5">
        <f t="shared" si="13"/>
        <v>7.0650000000000004</v>
      </c>
      <c r="V35" s="23">
        <f t="shared" si="14"/>
        <v>38.216560509554135</v>
      </c>
      <c r="W35" s="5">
        <f t="shared" si="15"/>
        <v>15</v>
      </c>
      <c r="X35" s="5">
        <v>-1.6314</v>
      </c>
      <c r="Y35" s="34">
        <v>4.9161000000000001</v>
      </c>
      <c r="Z35" s="9">
        <f t="shared" ref="Z35:Z51" si="23">ABS(X35*T35)/W35</f>
        <v>2.9365200000000001E-2</v>
      </c>
      <c r="AA35" s="9">
        <f t="shared" ref="AA35:AA51" si="24">Y35*T35/(Z35*$M$30)</f>
        <v>9.0765784727730328</v>
      </c>
      <c r="AB35" s="9">
        <v>0.97060000000000002</v>
      </c>
      <c r="AD35" s="5">
        <v>2</v>
      </c>
      <c r="AE35" s="5">
        <v>20</v>
      </c>
      <c r="AF35" s="5">
        <v>4.5</v>
      </c>
      <c r="AG35" s="5">
        <f t="shared" si="16"/>
        <v>270</v>
      </c>
      <c r="AH35" s="5">
        <f t="shared" si="17"/>
        <v>0.27</v>
      </c>
      <c r="AI35" s="5">
        <f t="shared" si="18"/>
        <v>7.0650000000000004</v>
      </c>
      <c r="AJ35" s="23">
        <f t="shared" si="19"/>
        <v>38.216560509554135</v>
      </c>
      <c r="AK35" s="5">
        <f t="shared" si="20"/>
        <v>20</v>
      </c>
      <c r="AL35" s="5">
        <v>-2.0546000000000002</v>
      </c>
      <c r="AM35" s="34">
        <v>4.8227000000000002</v>
      </c>
      <c r="AN35" s="9">
        <f t="shared" ref="AN35:AN47" si="25">ABS(AL35*AH35)/AK35</f>
        <v>2.7737100000000004E-2</v>
      </c>
      <c r="AO35" s="9">
        <f t="shared" ref="AO35:AO47" si="26">AM35*AH35/(AN35*$M$30)</f>
        <v>9.4267853072955692</v>
      </c>
      <c r="AP35" s="9">
        <v>0.97809999999999997</v>
      </c>
    </row>
    <row r="36" spans="2:42" ht="13.8">
      <c r="B36" s="5">
        <v>3</v>
      </c>
      <c r="C36" s="5">
        <v>20</v>
      </c>
      <c r="D36" s="5">
        <v>4.5</v>
      </c>
      <c r="E36" s="5">
        <f t="shared" si="6"/>
        <v>270</v>
      </c>
      <c r="F36" s="5">
        <f t="shared" si="7"/>
        <v>0.27</v>
      </c>
      <c r="G36" s="5">
        <f t="shared" si="8"/>
        <v>7.0650000000000004</v>
      </c>
      <c r="H36" s="23">
        <f t="shared" si="9"/>
        <v>38.216560509554135</v>
      </c>
      <c r="I36" s="5">
        <f t="shared" si="10"/>
        <v>10</v>
      </c>
      <c r="J36" s="5">
        <v>-1.4056</v>
      </c>
      <c r="K36" s="34">
        <v>5.1387</v>
      </c>
      <c r="L36" s="9">
        <f t="shared" si="21"/>
        <v>3.7951200000000004E-2</v>
      </c>
      <c r="M36" s="9">
        <f t="shared" si="22"/>
        <v>7.3411174578793252</v>
      </c>
      <c r="N36" s="9">
        <v>0.96660000000000001</v>
      </c>
      <c r="P36" s="5">
        <v>3</v>
      </c>
      <c r="Q36" s="5">
        <v>20</v>
      </c>
      <c r="R36" s="5">
        <v>4.5</v>
      </c>
      <c r="S36" s="5">
        <f t="shared" si="11"/>
        <v>270</v>
      </c>
      <c r="T36" s="5">
        <f t="shared" si="12"/>
        <v>0.27</v>
      </c>
      <c r="U36" s="5">
        <f t="shared" si="13"/>
        <v>7.0650000000000004</v>
      </c>
      <c r="V36" s="23">
        <f t="shared" si="14"/>
        <v>38.216560509554135</v>
      </c>
      <c r="W36" s="5">
        <f t="shared" si="15"/>
        <v>15</v>
      </c>
      <c r="X36" s="5">
        <v>-1.6314</v>
      </c>
      <c r="Y36" s="34">
        <v>4.9161000000000001</v>
      </c>
      <c r="Z36" s="9">
        <f t="shared" si="23"/>
        <v>2.9365200000000001E-2</v>
      </c>
      <c r="AA36" s="9">
        <f t="shared" si="24"/>
        <v>9.0765784727730328</v>
      </c>
      <c r="AB36" s="9">
        <v>0.97060000000000002</v>
      </c>
      <c r="AD36" s="5">
        <v>3</v>
      </c>
      <c r="AE36" s="5">
        <v>20</v>
      </c>
      <c r="AF36" s="5">
        <v>4.5</v>
      </c>
      <c r="AG36" s="5">
        <f t="shared" si="16"/>
        <v>270</v>
      </c>
      <c r="AH36" s="5">
        <f t="shared" si="17"/>
        <v>0.27</v>
      </c>
      <c r="AI36" s="5">
        <f t="shared" si="18"/>
        <v>7.0650000000000004</v>
      </c>
      <c r="AJ36" s="23">
        <f t="shared" si="19"/>
        <v>38.216560509554135</v>
      </c>
      <c r="AK36" s="5">
        <f t="shared" si="20"/>
        <v>20</v>
      </c>
      <c r="AL36" s="5">
        <v>-2.0546000000000002</v>
      </c>
      <c r="AM36" s="34">
        <v>4.8227000000000002</v>
      </c>
      <c r="AN36" s="9">
        <f t="shared" si="25"/>
        <v>2.7737100000000004E-2</v>
      </c>
      <c r="AO36" s="9">
        <f t="shared" si="26"/>
        <v>9.4267853072955692</v>
      </c>
      <c r="AP36" s="9">
        <v>0.97809999999999997</v>
      </c>
    </row>
    <row r="37" spans="2:42" ht="13.8">
      <c r="B37" s="5">
        <v>4</v>
      </c>
      <c r="C37" s="5">
        <v>20</v>
      </c>
      <c r="D37" s="5">
        <v>4.5</v>
      </c>
      <c r="E37" s="5">
        <f t="shared" si="6"/>
        <v>270</v>
      </c>
      <c r="F37" s="5">
        <f t="shared" si="7"/>
        <v>0.27</v>
      </c>
      <c r="G37" s="5">
        <f t="shared" si="8"/>
        <v>7.0650000000000004</v>
      </c>
      <c r="H37" s="23">
        <f t="shared" si="9"/>
        <v>38.216560509554135</v>
      </c>
      <c r="I37" s="5">
        <f t="shared" si="10"/>
        <v>10</v>
      </c>
      <c r="J37" s="5">
        <v>-1.4056</v>
      </c>
      <c r="K37" s="34">
        <v>5.1387</v>
      </c>
      <c r="L37" s="9">
        <f t="shared" si="21"/>
        <v>3.7951200000000004E-2</v>
      </c>
      <c r="M37" s="9">
        <f t="shared" si="22"/>
        <v>7.3411174578793252</v>
      </c>
      <c r="N37" s="9">
        <v>0.96660000000000001</v>
      </c>
      <c r="P37" s="5">
        <v>4</v>
      </c>
      <c r="Q37" s="5">
        <v>20</v>
      </c>
      <c r="R37" s="5">
        <v>4.5</v>
      </c>
      <c r="S37" s="5">
        <f t="shared" si="11"/>
        <v>270</v>
      </c>
      <c r="T37" s="5">
        <f t="shared" si="12"/>
        <v>0.27</v>
      </c>
      <c r="U37" s="5">
        <f t="shared" si="13"/>
        <v>7.0650000000000004</v>
      </c>
      <c r="V37" s="23">
        <f t="shared" si="14"/>
        <v>38.216560509554135</v>
      </c>
      <c r="W37" s="5">
        <f t="shared" si="15"/>
        <v>15</v>
      </c>
      <c r="X37" s="5">
        <v>-1.6314</v>
      </c>
      <c r="Y37" s="34">
        <v>4.9161000000000001</v>
      </c>
      <c r="Z37" s="9">
        <f t="shared" si="23"/>
        <v>2.9365200000000001E-2</v>
      </c>
      <c r="AA37" s="9">
        <f t="shared" si="24"/>
        <v>9.0765784727730328</v>
      </c>
      <c r="AB37" s="9">
        <v>0.97060000000000002</v>
      </c>
      <c r="AD37" s="5">
        <v>4</v>
      </c>
      <c r="AE37" s="5">
        <v>20</v>
      </c>
      <c r="AF37" s="5">
        <v>4.5</v>
      </c>
      <c r="AG37" s="5">
        <f t="shared" si="16"/>
        <v>270</v>
      </c>
      <c r="AH37" s="5">
        <f t="shared" si="17"/>
        <v>0.27</v>
      </c>
      <c r="AI37" s="5">
        <f t="shared" si="18"/>
        <v>7.0650000000000004</v>
      </c>
      <c r="AJ37" s="23">
        <f t="shared" si="19"/>
        <v>38.216560509554135</v>
      </c>
      <c r="AK37" s="5">
        <f t="shared" si="20"/>
        <v>20</v>
      </c>
      <c r="AL37" s="5">
        <v>-2.0546000000000002</v>
      </c>
      <c r="AM37" s="34">
        <v>4.8227000000000002</v>
      </c>
      <c r="AN37" s="9">
        <f t="shared" si="25"/>
        <v>2.7737100000000004E-2</v>
      </c>
      <c r="AO37" s="9">
        <f t="shared" si="26"/>
        <v>9.4267853072955692</v>
      </c>
      <c r="AP37" s="9">
        <v>0.97809999999999997</v>
      </c>
    </row>
    <row r="38" spans="2:42" ht="13.8">
      <c r="B38" s="5">
        <v>5</v>
      </c>
      <c r="C38" s="5">
        <v>20</v>
      </c>
      <c r="D38" s="5">
        <v>4.5</v>
      </c>
      <c r="E38" s="5">
        <f t="shared" si="6"/>
        <v>270</v>
      </c>
      <c r="F38" s="5">
        <f t="shared" si="7"/>
        <v>0.27</v>
      </c>
      <c r="G38" s="5">
        <f t="shared" si="8"/>
        <v>7.0650000000000004</v>
      </c>
      <c r="H38" s="23">
        <f t="shared" si="9"/>
        <v>38.216560509554135</v>
      </c>
      <c r="I38" s="5">
        <f t="shared" si="10"/>
        <v>10</v>
      </c>
      <c r="J38" s="5">
        <v>-1.4056</v>
      </c>
      <c r="K38" s="34">
        <v>5.1387</v>
      </c>
      <c r="L38" s="9">
        <f t="shared" si="21"/>
        <v>3.7951200000000004E-2</v>
      </c>
      <c r="M38" s="9">
        <f t="shared" si="22"/>
        <v>7.3411174578793252</v>
      </c>
      <c r="N38" s="9">
        <v>0.96660000000000001</v>
      </c>
      <c r="P38" s="5">
        <v>5</v>
      </c>
      <c r="Q38" s="5">
        <v>20</v>
      </c>
      <c r="R38" s="5">
        <v>4.5</v>
      </c>
      <c r="S38" s="5">
        <f t="shared" si="11"/>
        <v>270</v>
      </c>
      <c r="T38" s="5">
        <f t="shared" si="12"/>
        <v>0.27</v>
      </c>
      <c r="U38" s="5">
        <f t="shared" si="13"/>
        <v>7.0650000000000004</v>
      </c>
      <c r="V38" s="23">
        <f t="shared" si="14"/>
        <v>38.216560509554135</v>
      </c>
      <c r="W38" s="5">
        <f t="shared" si="15"/>
        <v>15</v>
      </c>
      <c r="X38" s="5">
        <v>-1.6314</v>
      </c>
      <c r="Y38" s="34">
        <v>4.9161000000000001</v>
      </c>
      <c r="Z38" s="9">
        <f t="shared" si="23"/>
        <v>2.9365200000000001E-2</v>
      </c>
      <c r="AA38" s="9">
        <f t="shared" si="24"/>
        <v>9.0765784727730328</v>
      </c>
      <c r="AB38" s="9">
        <v>0.97060000000000002</v>
      </c>
      <c r="AD38" s="5">
        <v>5</v>
      </c>
      <c r="AE38" s="5">
        <v>20</v>
      </c>
      <c r="AF38" s="5">
        <v>4.5</v>
      </c>
      <c r="AG38" s="5">
        <f t="shared" si="16"/>
        <v>270</v>
      </c>
      <c r="AH38" s="5">
        <f t="shared" si="17"/>
        <v>0.27</v>
      </c>
      <c r="AI38" s="5">
        <f t="shared" si="18"/>
        <v>7.0650000000000004</v>
      </c>
      <c r="AJ38" s="23">
        <f t="shared" si="19"/>
        <v>38.216560509554135</v>
      </c>
      <c r="AK38" s="5">
        <f t="shared" si="20"/>
        <v>20</v>
      </c>
      <c r="AL38" s="5">
        <v>-2.0546000000000002</v>
      </c>
      <c r="AM38" s="34">
        <v>4.8227000000000002</v>
      </c>
      <c r="AN38" s="9">
        <f t="shared" si="25"/>
        <v>2.7737100000000004E-2</v>
      </c>
      <c r="AO38" s="9">
        <f t="shared" si="26"/>
        <v>9.4267853072955692</v>
      </c>
      <c r="AP38" s="9">
        <v>0.97809999999999997</v>
      </c>
    </row>
    <row r="39" spans="2:42" ht="13.8">
      <c r="B39" s="5">
        <v>6</v>
      </c>
      <c r="C39" s="5">
        <v>20</v>
      </c>
      <c r="D39" s="5">
        <v>4.5</v>
      </c>
      <c r="E39" s="5">
        <f t="shared" si="6"/>
        <v>270</v>
      </c>
      <c r="F39" s="5">
        <f t="shared" si="7"/>
        <v>0.27</v>
      </c>
      <c r="G39" s="5">
        <f t="shared" si="8"/>
        <v>7.0650000000000004</v>
      </c>
      <c r="H39" s="23">
        <f t="shared" si="9"/>
        <v>38.216560509554135</v>
      </c>
      <c r="I39" s="5">
        <f t="shared" si="10"/>
        <v>10</v>
      </c>
      <c r="J39" s="5">
        <v>-1.4056</v>
      </c>
      <c r="K39" s="34">
        <v>5.1387</v>
      </c>
      <c r="L39" s="9">
        <f t="shared" si="21"/>
        <v>3.7951200000000004E-2</v>
      </c>
      <c r="M39" s="9">
        <f t="shared" si="22"/>
        <v>7.3411174578793252</v>
      </c>
      <c r="N39" s="9">
        <v>0.96660000000000001</v>
      </c>
      <c r="P39" s="5">
        <v>6</v>
      </c>
      <c r="Q39" s="5">
        <v>20</v>
      </c>
      <c r="R39" s="5">
        <v>4.5</v>
      </c>
      <c r="S39" s="5">
        <f t="shared" si="11"/>
        <v>270</v>
      </c>
      <c r="T39" s="5">
        <f t="shared" si="12"/>
        <v>0.27</v>
      </c>
      <c r="U39" s="5">
        <f t="shared" si="13"/>
        <v>7.0650000000000004</v>
      </c>
      <c r="V39" s="23">
        <f t="shared" si="14"/>
        <v>38.216560509554135</v>
      </c>
      <c r="W39" s="5">
        <f t="shared" si="15"/>
        <v>15</v>
      </c>
      <c r="X39" s="5">
        <v>-1.6314</v>
      </c>
      <c r="Y39" s="34">
        <v>4.9161000000000001</v>
      </c>
      <c r="Z39" s="9">
        <f t="shared" si="23"/>
        <v>2.9365200000000001E-2</v>
      </c>
      <c r="AA39" s="9">
        <f t="shared" si="24"/>
        <v>9.0765784727730328</v>
      </c>
      <c r="AB39" s="9">
        <v>0.97060000000000002</v>
      </c>
      <c r="AD39" s="5">
        <v>6</v>
      </c>
      <c r="AE39" s="5">
        <v>20</v>
      </c>
      <c r="AF39" s="5">
        <v>4.5</v>
      </c>
      <c r="AG39" s="5">
        <f t="shared" si="16"/>
        <v>270</v>
      </c>
      <c r="AH39" s="5">
        <f t="shared" si="17"/>
        <v>0.27</v>
      </c>
      <c r="AI39" s="5">
        <f t="shared" si="18"/>
        <v>7.0650000000000004</v>
      </c>
      <c r="AJ39" s="23">
        <f t="shared" si="19"/>
        <v>38.216560509554135</v>
      </c>
      <c r="AK39" s="5">
        <f t="shared" si="20"/>
        <v>20</v>
      </c>
      <c r="AL39" s="5">
        <v>-2.0546000000000002</v>
      </c>
      <c r="AM39" s="34">
        <v>4.8227000000000002</v>
      </c>
      <c r="AN39" s="9">
        <f t="shared" si="25"/>
        <v>2.7737100000000004E-2</v>
      </c>
      <c r="AO39" s="9">
        <f t="shared" si="26"/>
        <v>9.4267853072955692</v>
      </c>
      <c r="AP39" s="9">
        <v>0.97809999999999997</v>
      </c>
    </row>
    <row r="40" spans="2:42" ht="13.8">
      <c r="B40" s="5">
        <v>7</v>
      </c>
      <c r="C40" s="5">
        <v>20</v>
      </c>
      <c r="D40" s="5">
        <v>4.5</v>
      </c>
      <c r="E40" s="5">
        <f t="shared" si="6"/>
        <v>270</v>
      </c>
      <c r="F40" s="5">
        <f t="shared" si="7"/>
        <v>0.27</v>
      </c>
      <c r="G40" s="5">
        <f t="shared" si="8"/>
        <v>7.0650000000000004</v>
      </c>
      <c r="H40" s="23">
        <f t="shared" si="9"/>
        <v>38.216560509554135</v>
      </c>
      <c r="I40" s="5">
        <f t="shared" si="10"/>
        <v>10</v>
      </c>
      <c r="J40" s="5">
        <v>-1.4056</v>
      </c>
      <c r="K40" s="34">
        <v>5.1387</v>
      </c>
      <c r="L40" s="9">
        <f t="shared" si="21"/>
        <v>3.7951200000000004E-2</v>
      </c>
      <c r="M40" s="9">
        <f t="shared" si="22"/>
        <v>7.3411174578793252</v>
      </c>
      <c r="N40" s="9">
        <v>0.96660000000000001</v>
      </c>
      <c r="P40" s="5">
        <v>7</v>
      </c>
      <c r="Q40" s="5">
        <v>20</v>
      </c>
      <c r="R40" s="5">
        <v>4.5</v>
      </c>
      <c r="S40" s="5">
        <f t="shared" si="11"/>
        <v>270</v>
      </c>
      <c r="T40" s="5">
        <f t="shared" si="12"/>
        <v>0.27</v>
      </c>
      <c r="U40" s="5">
        <f t="shared" si="13"/>
        <v>7.0650000000000004</v>
      </c>
      <c r="V40" s="23">
        <f t="shared" si="14"/>
        <v>38.216560509554135</v>
      </c>
      <c r="W40" s="5">
        <f t="shared" si="15"/>
        <v>15</v>
      </c>
      <c r="X40" s="5">
        <v>-1.6314</v>
      </c>
      <c r="Y40" s="34">
        <v>4.9161000000000001</v>
      </c>
      <c r="Z40" s="9">
        <f t="shared" si="23"/>
        <v>2.9365200000000001E-2</v>
      </c>
      <c r="AA40" s="9">
        <f t="shared" si="24"/>
        <v>9.0765784727730328</v>
      </c>
      <c r="AB40" s="9">
        <v>0.97060000000000002</v>
      </c>
      <c r="AD40" s="5">
        <v>7</v>
      </c>
      <c r="AE40" s="5">
        <v>20</v>
      </c>
      <c r="AF40" s="5">
        <v>4.5</v>
      </c>
      <c r="AG40" s="5">
        <f t="shared" si="16"/>
        <v>270</v>
      </c>
      <c r="AH40" s="5">
        <f t="shared" si="17"/>
        <v>0.27</v>
      </c>
      <c r="AI40" s="5">
        <f t="shared" si="18"/>
        <v>7.0650000000000004</v>
      </c>
      <c r="AJ40" s="23">
        <f t="shared" si="19"/>
        <v>38.216560509554135</v>
      </c>
      <c r="AK40" s="5">
        <f t="shared" si="20"/>
        <v>20</v>
      </c>
      <c r="AL40" s="5">
        <v>-2.0546000000000002</v>
      </c>
      <c r="AM40" s="34">
        <v>4.8227000000000002</v>
      </c>
      <c r="AN40" s="9">
        <f t="shared" si="25"/>
        <v>2.7737100000000004E-2</v>
      </c>
      <c r="AO40" s="9">
        <f t="shared" si="26"/>
        <v>9.4267853072955692</v>
      </c>
      <c r="AP40" s="9">
        <v>0.97809999999999997</v>
      </c>
    </row>
    <row r="41" spans="2:42" ht="13.8">
      <c r="B41" s="5">
        <v>8</v>
      </c>
      <c r="C41" s="5">
        <v>20</v>
      </c>
      <c r="D41" s="5">
        <v>4.5</v>
      </c>
      <c r="E41" s="5">
        <f t="shared" si="6"/>
        <v>270</v>
      </c>
      <c r="F41" s="5">
        <f t="shared" si="7"/>
        <v>0.27</v>
      </c>
      <c r="G41" s="5">
        <f t="shared" si="8"/>
        <v>7.0650000000000004</v>
      </c>
      <c r="H41" s="23">
        <f t="shared" si="9"/>
        <v>38.216560509554135</v>
      </c>
      <c r="I41" s="5">
        <f t="shared" si="10"/>
        <v>10</v>
      </c>
      <c r="J41" s="5">
        <v>-1.4056</v>
      </c>
      <c r="K41" s="34">
        <v>5.1387</v>
      </c>
      <c r="L41" s="9">
        <f t="shared" si="21"/>
        <v>3.7951200000000004E-2</v>
      </c>
      <c r="M41" s="9">
        <f t="shared" si="22"/>
        <v>7.3411174578793252</v>
      </c>
      <c r="N41" s="9">
        <v>0.96660000000000001</v>
      </c>
      <c r="P41" s="5">
        <v>8</v>
      </c>
      <c r="Q41" s="5">
        <v>20</v>
      </c>
      <c r="R41" s="5">
        <v>4.5</v>
      </c>
      <c r="S41" s="5">
        <f t="shared" si="11"/>
        <v>270</v>
      </c>
      <c r="T41" s="5">
        <f t="shared" si="12"/>
        <v>0.27</v>
      </c>
      <c r="U41" s="5">
        <f t="shared" si="13"/>
        <v>7.0650000000000004</v>
      </c>
      <c r="V41" s="23">
        <f t="shared" si="14"/>
        <v>38.216560509554135</v>
      </c>
      <c r="W41" s="5">
        <f t="shared" si="15"/>
        <v>15</v>
      </c>
      <c r="X41" s="5">
        <v>-1.6314</v>
      </c>
      <c r="Y41" s="34">
        <v>4.9161000000000001</v>
      </c>
      <c r="Z41" s="9">
        <f t="shared" si="23"/>
        <v>2.9365200000000001E-2</v>
      </c>
      <c r="AA41" s="9">
        <f t="shared" si="24"/>
        <v>9.0765784727730328</v>
      </c>
      <c r="AB41" s="9">
        <v>0.97060000000000002</v>
      </c>
      <c r="AD41" s="5">
        <v>8</v>
      </c>
      <c r="AE41" s="5">
        <v>20</v>
      </c>
      <c r="AF41" s="5">
        <v>4.5</v>
      </c>
      <c r="AG41" s="5">
        <f t="shared" si="16"/>
        <v>270</v>
      </c>
      <c r="AH41" s="5">
        <f t="shared" si="17"/>
        <v>0.27</v>
      </c>
      <c r="AI41" s="5">
        <f t="shared" si="18"/>
        <v>7.0650000000000004</v>
      </c>
      <c r="AJ41" s="23">
        <f t="shared" si="19"/>
        <v>38.216560509554135</v>
      </c>
      <c r="AK41" s="5">
        <f t="shared" si="20"/>
        <v>20</v>
      </c>
      <c r="AL41" s="5">
        <v>-2.0546000000000002</v>
      </c>
      <c r="AM41" s="34">
        <v>4.8227000000000002</v>
      </c>
      <c r="AN41" s="9">
        <f t="shared" si="25"/>
        <v>2.7737100000000004E-2</v>
      </c>
      <c r="AO41" s="9">
        <f t="shared" si="26"/>
        <v>9.4267853072955692</v>
      </c>
      <c r="AP41" s="9">
        <v>0.97809999999999997</v>
      </c>
    </row>
    <row r="42" spans="2:42" ht="13.8">
      <c r="B42" s="5">
        <v>9</v>
      </c>
      <c r="C42" s="5">
        <v>20</v>
      </c>
      <c r="D42" s="5">
        <v>4.5</v>
      </c>
      <c r="E42" s="5">
        <f t="shared" si="6"/>
        <v>270</v>
      </c>
      <c r="F42" s="5">
        <f t="shared" si="7"/>
        <v>0.27</v>
      </c>
      <c r="G42" s="5">
        <f t="shared" si="8"/>
        <v>7.0650000000000004</v>
      </c>
      <c r="H42" s="23">
        <f t="shared" si="9"/>
        <v>38.216560509554135</v>
      </c>
      <c r="I42" s="5">
        <f t="shared" si="10"/>
        <v>10</v>
      </c>
      <c r="J42" s="5">
        <v>-1.4056</v>
      </c>
      <c r="K42" s="34">
        <v>5.1387</v>
      </c>
      <c r="L42" s="9">
        <f t="shared" si="21"/>
        <v>3.7951200000000004E-2</v>
      </c>
      <c r="M42" s="9">
        <f t="shared" si="22"/>
        <v>7.3411174578793252</v>
      </c>
      <c r="N42" s="9">
        <v>0.96660000000000001</v>
      </c>
      <c r="P42" s="5">
        <v>9</v>
      </c>
      <c r="Q42" s="5">
        <v>20</v>
      </c>
      <c r="R42" s="5">
        <v>4.5</v>
      </c>
      <c r="S42" s="5">
        <f t="shared" si="11"/>
        <v>270</v>
      </c>
      <c r="T42" s="5">
        <f t="shared" si="12"/>
        <v>0.27</v>
      </c>
      <c r="U42" s="5">
        <f t="shared" si="13"/>
        <v>7.0650000000000004</v>
      </c>
      <c r="V42" s="23">
        <f t="shared" si="14"/>
        <v>38.216560509554135</v>
      </c>
      <c r="W42" s="5">
        <f t="shared" si="15"/>
        <v>15</v>
      </c>
      <c r="X42" s="5">
        <v>-1.6314</v>
      </c>
      <c r="Y42" s="34">
        <v>4.9161000000000001</v>
      </c>
      <c r="Z42" s="9">
        <f t="shared" si="23"/>
        <v>2.9365200000000001E-2</v>
      </c>
      <c r="AA42" s="9">
        <f t="shared" si="24"/>
        <v>9.0765784727730328</v>
      </c>
      <c r="AB42" s="9">
        <v>0.97060000000000002</v>
      </c>
      <c r="AD42" s="5">
        <v>9</v>
      </c>
      <c r="AE42" s="5">
        <v>20</v>
      </c>
      <c r="AF42" s="5">
        <v>4.5</v>
      </c>
      <c r="AG42" s="5">
        <f t="shared" si="16"/>
        <v>270</v>
      </c>
      <c r="AH42" s="5">
        <f t="shared" si="17"/>
        <v>0.27</v>
      </c>
      <c r="AI42" s="5">
        <f t="shared" si="18"/>
        <v>7.0650000000000004</v>
      </c>
      <c r="AJ42" s="23">
        <f t="shared" si="19"/>
        <v>38.216560509554135</v>
      </c>
      <c r="AK42" s="5">
        <f t="shared" si="20"/>
        <v>20</v>
      </c>
      <c r="AL42" s="5">
        <v>-2.0546000000000002</v>
      </c>
      <c r="AM42" s="34">
        <v>4.8227000000000002</v>
      </c>
      <c r="AN42" s="9">
        <f t="shared" si="25"/>
        <v>2.7737100000000004E-2</v>
      </c>
      <c r="AO42" s="9">
        <f t="shared" si="26"/>
        <v>9.4267853072955692</v>
      </c>
      <c r="AP42" s="9">
        <v>0.97809999999999997</v>
      </c>
    </row>
    <row r="43" spans="2:42" ht="13.8">
      <c r="B43" s="5">
        <v>10</v>
      </c>
      <c r="C43" s="5">
        <v>20</v>
      </c>
      <c r="D43" s="5">
        <v>4.5</v>
      </c>
      <c r="E43" s="5">
        <f t="shared" si="6"/>
        <v>270</v>
      </c>
      <c r="F43" s="5">
        <f t="shared" si="7"/>
        <v>0.27</v>
      </c>
      <c r="G43" s="5">
        <f t="shared" si="8"/>
        <v>7.0650000000000004</v>
      </c>
      <c r="H43" s="23">
        <f t="shared" si="9"/>
        <v>38.216560509554135</v>
      </c>
      <c r="I43" s="5">
        <f t="shared" si="10"/>
        <v>10</v>
      </c>
      <c r="J43" s="5">
        <v>-1.4056</v>
      </c>
      <c r="K43" s="34">
        <v>5.1387</v>
      </c>
      <c r="L43" s="9">
        <f t="shared" si="21"/>
        <v>3.7951200000000004E-2</v>
      </c>
      <c r="M43" s="9">
        <f t="shared" si="22"/>
        <v>7.3411174578793252</v>
      </c>
      <c r="N43" s="9">
        <v>0.96660000000000001</v>
      </c>
      <c r="P43" s="5">
        <v>10</v>
      </c>
      <c r="Q43" s="5">
        <v>20</v>
      </c>
      <c r="R43" s="5">
        <v>4.5</v>
      </c>
      <c r="S43" s="5">
        <f t="shared" si="11"/>
        <v>270</v>
      </c>
      <c r="T43" s="5">
        <f t="shared" si="12"/>
        <v>0.27</v>
      </c>
      <c r="U43" s="5">
        <f t="shared" si="13"/>
        <v>7.0650000000000004</v>
      </c>
      <c r="V43" s="23">
        <f t="shared" si="14"/>
        <v>38.216560509554135</v>
      </c>
      <c r="W43" s="5">
        <f t="shared" si="15"/>
        <v>15</v>
      </c>
      <c r="X43" s="5">
        <v>-1.6314</v>
      </c>
      <c r="Y43" s="34">
        <v>4.9161000000000001</v>
      </c>
      <c r="Z43" s="9">
        <f t="shared" si="23"/>
        <v>2.9365200000000001E-2</v>
      </c>
      <c r="AA43" s="9">
        <f t="shared" si="24"/>
        <v>9.0765784727730328</v>
      </c>
      <c r="AB43" s="9">
        <v>0.97060000000000002</v>
      </c>
      <c r="AD43" s="5">
        <v>10</v>
      </c>
      <c r="AE43" s="5">
        <v>20</v>
      </c>
      <c r="AF43" s="5">
        <v>4.5</v>
      </c>
      <c r="AG43" s="5">
        <f t="shared" si="16"/>
        <v>270</v>
      </c>
      <c r="AH43" s="5">
        <f t="shared" si="17"/>
        <v>0.27</v>
      </c>
      <c r="AI43" s="5">
        <f t="shared" si="18"/>
        <v>7.0650000000000004</v>
      </c>
      <c r="AJ43" s="23">
        <f t="shared" si="19"/>
        <v>38.216560509554135</v>
      </c>
      <c r="AK43" s="5">
        <f t="shared" si="20"/>
        <v>20</v>
      </c>
      <c r="AL43" s="5">
        <v>-2.0546000000000002</v>
      </c>
      <c r="AM43" s="34">
        <v>4.8227000000000002</v>
      </c>
      <c r="AN43" s="9">
        <f t="shared" si="25"/>
        <v>2.7737100000000004E-2</v>
      </c>
      <c r="AO43" s="9">
        <f t="shared" si="26"/>
        <v>9.4267853072955692</v>
      </c>
      <c r="AP43" s="9">
        <v>0.97809999999999997</v>
      </c>
    </row>
    <row r="44" spans="2:42" ht="13.8">
      <c r="B44" s="5">
        <v>11</v>
      </c>
      <c r="C44" s="5">
        <v>20</v>
      </c>
      <c r="D44" s="5">
        <v>4.5</v>
      </c>
      <c r="E44" s="5">
        <f t="shared" si="6"/>
        <v>270</v>
      </c>
      <c r="F44" s="5">
        <f t="shared" si="7"/>
        <v>0.27</v>
      </c>
      <c r="G44" s="5">
        <f t="shared" si="8"/>
        <v>7.0650000000000004</v>
      </c>
      <c r="H44" s="23">
        <f t="shared" si="9"/>
        <v>38.216560509554135</v>
      </c>
      <c r="I44" s="5">
        <f t="shared" si="10"/>
        <v>10</v>
      </c>
      <c r="J44" s="5">
        <v>-1.4056</v>
      </c>
      <c r="K44" s="34">
        <v>5.1387</v>
      </c>
      <c r="L44" s="9">
        <f t="shared" si="21"/>
        <v>3.7951200000000004E-2</v>
      </c>
      <c r="M44" s="9">
        <f t="shared" si="22"/>
        <v>7.3411174578793252</v>
      </c>
      <c r="N44" s="9">
        <v>0.96660000000000001</v>
      </c>
      <c r="P44" s="5">
        <v>11</v>
      </c>
      <c r="Q44" s="5">
        <v>20</v>
      </c>
      <c r="R44" s="5">
        <v>4.5</v>
      </c>
      <c r="S44" s="5">
        <f t="shared" si="11"/>
        <v>270</v>
      </c>
      <c r="T44" s="5">
        <f t="shared" si="12"/>
        <v>0.27</v>
      </c>
      <c r="U44" s="5">
        <f t="shared" si="13"/>
        <v>7.0650000000000004</v>
      </c>
      <c r="V44" s="23">
        <f t="shared" si="14"/>
        <v>38.216560509554135</v>
      </c>
      <c r="W44" s="5">
        <f t="shared" si="15"/>
        <v>15</v>
      </c>
      <c r="X44" s="5">
        <v>-1.6314</v>
      </c>
      <c r="Y44" s="34">
        <v>4.9161000000000001</v>
      </c>
      <c r="Z44" s="9">
        <f t="shared" si="23"/>
        <v>2.9365200000000001E-2</v>
      </c>
      <c r="AA44" s="9">
        <f t="shared" si="24"/>
        <v>9.0765784727730328</v>
      </c>
      <c r="AB44" s="9">
        <v>0.97060000000000002</v>
      </c>
      <c r="AD44" s="5">
        <v>11</v>
      </c>
      <c r="AE44" s="5">
        <v>20</v>
      </c>
      <c r="AF44" s="5">
        <v>4.5</v>
      </c>
      <c r="AG44" s="5">
        <f t="shared" si="16"/>
        <v>270</v>
      </c>
      <c r="AH44" s="5">
        <f t="shared" si="17"/>
        <v>0.27</v>
      </c>
      <c r="AI44" s="5">
        <f t="shared" si="18"/>
        <v>7.0650000000000004</v>
      </c>
      <c r="AJ44" s="23">
        <f t="shared" si="19"/>
        <v>38.216560509554135</v>
      </c>
      <c r="AK44" s="5">
        <f t="shared" si="20"/>
        <v>20</v>
      </c>
      <c r="AL44" s="5">
        <v>-2.0546000000000002</v>
      </c>
      <c r="AM44" s="34">
        <v>4.8227000000000002</v>
      </c>
      <c r="AN44" s="9">
        <f t="shared" si="25"/>
        <v>2.7737100000000004E-2</v>
      </c>
      <c r="AO44" s="9">
        <f t="shared" si="26"/>
        <v>9.4267853072955692</v>
      </c>
      <c r="AP44" s="9">
        <v>0.97809999999999997</v>
      </c>
    </row>
    <row r="45" spans="2:42" ht="13.8">
      <c r="B45" s="5">
        <v>12</v>
      </c>
      <c r="C45" s="5">
        <v>20</v>
      </c>
      <c r="D45" s="5">
        <v>4.5</v>
      </c>
      <c r="E45" s="5">
        <f t="shared" si="6"/>
        <v>270</v>
      </c>
      <c r="F45" s="5">
        <f t="shared" si="7"/>
        <v>0.27</v>
      </c>
      <c r="G45" s="5">
        <f t="shared" si="8"/>
        <v>7.0650000000000004</v>
      </c>
      <c r="H45" s="23">
        <f t="shared" si="9"/>
        <v>38.216560509554135</v>
      </c>
      <c r="I45" s="5">
        <f t="shared" si="10"/>
        <v>10</v>
      </c>
      <c r="J45" s="5">
        <v>-1.4056</v>
      </c>
      <c r="K45" s="34">
        <v>5.1387</v>
      </c>
      <c r="L45" s="9">
        <f t="shared" si="21"/>
        <v>3.7951200000000004E-2</v>
      </c>
      <c r="M45" s="9">
        <f t="shared" si="22"/>
        <v>7.3411174578793252</v>
      </c>
      <c r="N45" s="9">
        <v>0.96660000000000001</v>
      </c>
      <c r="P45" s="5">
        <v>12</v>
      </c>
      <c r="Q45" s="5">
        <v>20</v>
      </c>
      <c r="R45" s="5">
        <v>4.5</v>
      </c>
      <c r="S45" s="5">
        <f t="shared" si="11"/>
        <v>270</v>
      </c>
      <c r="T45" s="5">
        <f t="shared" si="12"/>
        <v>0.27</v>
      </c>
      <c r="U45" s="5">
        <f t="shared" si="13"/>
        <v>7.0650000000000004</v>
      </c>
      <c r="V45" s="23">
        <f t="shared" si="14"/>
        <v>38.216560509554135</v>
      </c>
      <c r="W45" s="5">
        <f t="shared" si="15"/>
        <v>15</v>
      </c>
      <c r="X45" s="5">
        <v>-1.6314</v>
      </c>
      <c r="Y45" s="34">
        <v>4.9161000000000001</v>
      </c>
      <c r="Z45" s="9">
        <f t="shared" si="23"/>
        <v>2.9365200000000001E-2</v>
      </c>
      <c r="AA45" s="9">
        <f t="shared" si="24"/>
        <v>9.0765784727730328</v>
      </c>
      <c r="AB45" s="9">
        <v>0.97060000000000002</v>
      </c>
      <c r="AD45" s="5">
        <v>12</v>
      </c>
      <c r="AE45" s="5">
        <v>20</v>
      </c>
      <c r="AF45" s="5">
        <v>4.5</v>
      </c>
      <c r="AG45" s="5">
        <f t="shared" si="16"/>
        <v>270</v>
      </c>
      <c r="AH45" s="5">
        <f t="shared" si="17"/>
        <v>0.27</v>
      </c>
      <c r="AI45" s="5">
        <f t="shared" si="18"/>
        <v>7.0650000000000004</v>
      </c>
      <c r="AJ45" s="23">
        <f t="shared" si="19"/>
        <v>38.216560509554135</v>
      </c>
      <c r="AK45" s="5">
        <f t="shared" si="20"/>
        <v>20</v>
      </c>
      <c r="AL45" s="5">
        <v>-2.0546000000000002</v>
      </c>
      <c r="AM45" s="34">
        <v>4.8227000000000002</v>
      </c>
      <c r="AN45" s="9">
        <f t="shared" si="25"/>
        <v>2.7737100000000004E-2</v>
      </c>
      <c r="AO45" s="9">
        <f t="shared" si="26"/>
        <v>9.4267853072955692</v>
      </c>
      <c r="AP45" s="9">
        <v>0.97809999999999997</v>
      </c>
    </row>
    <row r="46" spans="2:42" ht="13.8">
      <c r="B46" s="5">
        <v>13</v>
      </c>
      <c r="C46" s="5">
        <v>20</v>
      </c>
      <c r="D46" s="5">
        <v>4.5</v>
      </c>
      <c r="E46" s="5">
        <f t="shared" si="6"/>
        <v>270</v>
      </c>
      <c r="F46" s="5">
        <f t="shared" si="7"/>
        <v>0.27</v>
      </c>
      <c r="G46" s="5">
        <f t="shared" si="8"/>
        <v>7.0650000000000004</v>
      </c>
      <c r="H46" s="23">
        <f t="shared" si="9"/>
        <v>38.216560509554135</v>
      </c>
      <c r="I46" s="5">
        <f t="shared" si="10"/>
        <v>10</v>
      </c>
      <c r="J46" s="5">
        <v>-1.4056</v>
      </c>
      <c r="K46" s="34">
        <v>5.1387</v>
      </c>
      <c r="L46" s="9">
        <f t="shared" si="21"/>
        <v>3.7951200000000004E-2</v>
      </c>
      <c r="M46" s="9">
        <f t="shared" si="22"/>
        <v>7.3411174578793252</v>
      </c>
      <c r="N46" s="9">
        <v>0.96660000000000001</v>
      </c>
      <c r="P46" s="5">
        <v>13</v>
      </c>
      <c r="Q46" s="5">
        <v>20</v>
      </c>
      <c r="R46" s="5">
        <v>4.5</v>
      </c>
      <c r="S46" s="5">
        <f t="shared" si="11"/>
        <v>270</v>
      </c>
      <c r="T46" s="5">
        <f t="shared" si="12"/>
        <v>0.27</v>
      </c>
      <c r="U46" s="5">
        <f t="shared" si="13"/>
        <v>7.0650000000000004</v>
      </c>
      <c r="V46" s="23">
        <f t="shared" si="14"/>
        <v>38.216560509554135</v>
      </c>
      <c r="W46" s="5">
        <f t="shared" si="15"/>
        <v>15</v>
      </c>
      <c r="X46" s="5">
        <v>-1.6314</v>
      </c>
      <c r="Y46" s="34">
        <v>4.9161000000000001</v>
      </c>
      <c r="Z46" s="9">
        <f t="shared" si="23"/>
        <v>2.9365200000000001E-2</v>
      </c>
      <c r="AA46" s="9">
        <f t="shared" si="24"/>
        <v>9.0765784727730328</v>
      </c>
      <c r="AB46" s="9">
        <v>0.97060000000000002</v>
      </c>
      <c r="AD46" s="5">
        <v>13</v>
      </c>
      <c r="AE46" s="5">
        <v>20</v>
      </c>
      <c r="AF46" s="5">
        <v>4.5</v>
      </c>
      <c r="AG46" s="5">
        <f t="shared" si="16"/>
        <v>270</v>
      </c>
      <c r="AH46" s="5">
        <f t="shared" si="17"/>
        <v>0.27</v>
      </c>
      <c r="AI46" s="5">
        <f t="shared" si="18"/>
        <v>7.0650000000000004</v>
      </c>
      <c r="AJ46" s="23">
        <f t="shared" si="19"/>
        <v>38.216560509554135</v>
      </c>
      <c r="AK46" s="5">
        <f t="shared" si="20"/>
        <v>20</v>
      </c>
      <c r="AL46" s="5">
        <v>-2.0546000000000002</v>
      </c>
      <c r="AM46" s="34">
        <v>4.8227000000000002</v>
      </c>
      <c r="AN46" s="9">
        <f t="shared" si="25"/>
        <v>2.7737100000000004E-2</v>
      </c>
      <c r="AO46" s="9">
        <f t="shared" si="26"/>
        <v>9.4267853072955692</v>
      </c>
      <c r="AP46" s="9">
        <v>0.97809999999999997</v>
      </c>
    </row>
    <row r="47" spans="2:42" ht="13.8">
      <c r="B47" s="5">
        <v>14</v>
      </c>
      <c r="C47" s="5">
        <v>20</v>
      </c>
      <c r="D47" s="5">
        <v>4.5</v>
      </c>
      <c r="E47" s="5">
        <f t="shared" si="6"/>
        <v>270</v>
      </c>
      <c r="F47" s="5">
        <f t="shared" si="7"/>
        <v>0.27</v>
      </c>
      <c r="G47" s="5">
        <f t="shared" si="8"/>
        <v>7.0650000000000004</v>
      </c>
      <c r="H47" s="23">
        <f t="shared" si="9"/>
        <v>38.216560509554135</v>
      </c>
      <c r="I47" s="5">
        <f t="shared" si="10"/>
        <v>10</v>
      </c>
      <c r="J47" s="5">
        <v>-1.4056</v>
      </c>
      <c r="K47" s="34">
        <v>5.1387</v>
      </c>
      <c r="L47" s="9">
        <f t="shared" si="21"/>
        <v>3.7951200000000004E-2</v>
      </c>
      <c r="M47" s="9">
        <f t="shared" si="22"/>
        <v>7.3411174578793252</v>
      </c>
      <c r="N47" s="9">
        <v>0.96660000000000001</v>
      </c>
      <c r="P47" s="5">
        <v>14</v>
      </c>
      <c r="Q47" s="5">
        <v>20</v>
      </c>
      <c r="R47" s="5">
        <v>4.5</v>
      </c>
      <c r="S47" s="5">
        <f t="shared" si="11"/>
        <v>270</v>
      </c>
      <c r="T47" s="5">
        <f t="shared" si="12"/>
        <v>0.27</v>
      </c>
      <c r="U47" s="5">
        <f t="shared" si="13"/>
        <v>7.0650000000000004</v>
      </c>
      <c r="V47" s="23">
        <f t="shared" si="14"/>
        <v>38.216560509554135</v>
      </c>
      <c r="W47" s="5">
        <f t="shared" si="15"/>
        <v>15</v>
      </c>
      <c r="X47" s="5">
        <v>-1.6314</v>
      </c>
      <c r="Y47" s="34">
        <v>4.9161000000000001</v>
      </c>
      <c r="Z47" s="9">
        <f t="shared" si="23"/>
        <v>2.9365200000000001E-2</v>
      </c>
      <c r="AA47" s="9">
        <f t="shared" si="24"/>
        <v>9.0765784727730328</v>
      </c>
      <c r="AB47" s="9">
        <v>0.97060000000000002</v>
      </c>
      <c r="AD47" s="5">
        <v>14</v>
      </c>
      <c r="AE47" s="5">
        <v>20</v>
      </c>
      <c r="AF47" s="5">
        <v>4.5</v>
      </c>
      <c r="AG47" s="5">
        <f t="shared" si="16"/>
        <v>270</v>
      </c>
      <c r="AH47" s="5">
        <f t="shared" si="17"/>
        <v>0.27</v>
      </c>
      <c r="AI47" s="5">
        <f t="shared" si="18"/>
        <v>7.0650000000000004</v>
      </c>
      <c r="AJ47" s="23">
        <f t="shared" si="19"/>
        <v>38.216560509554135</v>
      </c>
      <c r="AK47" s="5">
        <f t="shared" si="20"/>
        <v>20</v>
      </c>
      <c r="AL47" s="5">
        <v>-2.0546000000000002</v>
      </c>
      <c r="AM47" s="34">
        <v>4.8227000000000002</v>
      </c>
      <c r="AN47" s="9">
        <f t="shared" si="25"/>
        <v>2.7737100000000004E-2</v>
      </c>
      <c r="AO47" s="9">
        <f t="shared" si="26"/>
        <v>9.4267853072955692</v>
      </c>
      <c r="AP47" s="9">
        <v>0.97809999999999997</v>
      </c>
    </row>
    <row r="48" spans="2:42" ht="13.8">
      <c r="B48" s="5">
        <v>15</v>
      </c>
      <c r="C48" s="5">
        <v>20</v>
      </c>
      <c r="D48" s="5">
        <v>4.5</v>
      </c>
      <c r="E48" s="5">
        <f t="shared" si="6"/>
        <v>270</v>
      </c>
      <c r="F48" s="5">
        <f t="shared" si="7"/>
        <v>0.27</v>
      </c>
      <c r="G48" s="5">
        <f t="shared" si="8"/>
        <v>7.0650000000000004</v>
      </c>
      <c r="H48" s="23">
        <f t="shared" si="9"/>
        <v>38.216560509554135</v>
      </c>
      <c r="I48" s="5">
        <f t="shared" si="10"/>
        <v>10</v>
      </c>
      <c r="J48" s="5">
        <v>-1.4056</v>
      </c>
      <c r="K48" s="34">
        <v>5.1387</v>
      </c>
      <c r="L48" s="9">
        <f t="shared" si="21"/>
        <v>3.7951200000000004E-2</v>
      </c>
      <c r="M48" s="9">
        <f t="shared" si="22"/>
        <v>7.3411174578793252</v>
      </c>
      <c r="N48" s="9">
        <v>0.96660000000000001</v>
      </c>
      <c r="P48" s="5">
        <v>15</v>
      </c>
      <c r="Q48" s="5">
        <v>20</v>
      </c>
      <c r="R48" s="5">
        <v>4.5</v>
      </c>
      <c r="S48" s="5">
        <f t="shared" si="11"/>
        <v>270</v>
      </c>
      <c r="T48" s="5">
        <f t="shared" si="12"/>
        <v>0.27</v>
      </c>
      <c r="U48" s="5">
        <f t="shared" si="13"/>
        <v>7.0650000000000004</v>
      </c>
      <c r="V48" s="23">
        <f t="shared" si="14"/>
        <v>38.216560509554135</v>
      </c>
      <c r="W48" s="5">
        <f t="shared" si="15"/>
        <v>15</v>
      </c>
      <c r="X48" s="5">
        <v>-1.6314</v>
      </c>
      <c r="Y48" s="34">
        <v>4.9161000000000001</v>
      </c>
      <c r="Z48" s="9">
        <f t="shared" si="23"/>
        <v>2.9365200000000001E-2</v>
      </c>
      <c r="AA48" s="9">
        <f t="shared" si="24"/>
        <v>9.0765784727730328</v>
      </c>
      <c r="AB48" s="9">
        <v>0.97060000000000002</v>
      </c>
    </row>
    <row r="49" spans="2:28" ht="13.8">
      <c r="B49" s="5">
        <v>16</v>
      </c>
      <c r="C49" s="5">
        <v>20</v>
      </c>
      <c r="D49" s="5">
        <v>4.5</v>
      </c>
      <c r="E49" s="5">
        <f t="shared" si="6"/>
        <v>270</v>
      </c>
      <c r="F49" s="5">
        <f t="shared" si="7"/>
        <v>0.27</v>
      </c>
      <c r="G49" s="5">
        <f t="shared" si="8"/>
        <v>7.0650000000000004</v>
      </c>
      <c r="H49" s="23">
        <f t="shared" si="9"/>
        <v>38.216560509554135</v>
      </c>
      <c r="I49" s="5">
        <f t="shared" si="10"/>
        <v>10</v>
      </c>
      <c r="J49" s="5">
        <v>-1.4056</v>
      </c>
      <c r="K49" s="34">
        <v>5.1387</v>
      </c>
      <c r="L49" s="9">
        <f t="shared" si="21"/>
        <v>3.7951200000000004E-2</v>
      </c>
      <c r="M49" s="9">
        <f t="shared" si="22"/>
        <v>7.3411174578793252</v>
      </c>
      <c r="N49" s="9">
        <v>0.96660000000000001</v>
      </c>
      <c r="P49" s="5">
        <v>16</v>
      </c>
      <c r="Q49" s="5">
        <v>20</v>
      </c>
      <c r="R49" s="5">
        <v>4.5</v>
      </c>
      <c r="S49" s="5">
        <f t="shared" si="11"/>
        <v>270</v>
      </c>
      <c r="T49" s="5">
        <f t="shared" si="12"/>
        <v>0.27</v>
      </c>
      <c r="U49" s="5">
        <f t="shared" si="13"/>
        <v>7.0650000000000004</v>
      </c>
      <c r="V49" s="23">
        <f t="shared" si="14"/>
        <v>38.216560509554135</v>
      </c>
      <c r="W49" s="5">
        <f t="shared" si="15"/>
        <v>15</v>
      </c>
      <c r="X49" s="5">
        <v>-1.6314</v>
      </c>
      <c r="Y49" s="34">
        <v>4.9161000000000001</v>
      </c>
      <c r="Z49" s="9">
        <f t="shared" si="23"/>
        <v>2.9365200000000001E-2</v>
      </c>
      <c r="AA49" s="9">
        <f t="shared" si="24"/>
        <v>9.0765784727730328</v>
      </c>
      <c r="AB49" s="9">
        <v>0.97060000000000002</v>
      </c>
    </row>
    <row r="50" spans="2:28" ht="13.8">
      <c r="B50" s="5">
        <v>17</v>
      </c>
      <c r="C50" s="5">
        <v>20</v>
      </c>
      <c r="D50" s="5">
        <v>4.5</v>
      </c>
      <c r="E50" s="5">
        <f t="shared" si="6"/>
        <v>270</v>
      </c>
      <c r="F50" s="5">
        <f t="shared" si="7"/>
        <v>0.27</v>
      </c>
      <c r="G50" s="5">
        <f t="shared" si="8"/>
        <v>7.0650000000000004</v>
      </c>
      <c r="H50" s="23">
        <f t="shared" si="9"/>
        <v>38.216560509554135</v>
      </c>
      <c r="I50" s="5">
        <f t="shared" si="10"/>
        <v>10</v>
      </c>
      <c r="J50" s="5">
        <v>-1.4056</v>
      </c>
      <c r="K50" s="34">
        <v>5.1387</v>
      </c>
      <c r="L50" s="9">
        <f t="shared" si="21"/>
        <v>3.7951200000000004E-2</v>
      </c>
      <c r="M50" s="9">
        <f t="shared" si="22"/>
        <v>7.3411174578793252</v>
      </c>
      <c r="N50" s="9">
        <v>0.96660000000000001</v>
      </c>
      <c r="P50" s="5">
        <v>17</v>
      </c>
      <c r="Q50" s="5">
        <v>20</v>
      </c>
      <c r="R50" s="5">
        <v>4.5</v>
      </c>
      <c r="S50" s="5">
        <f t="shared" si="11"/>
        <v>270</v>
      </c>
      <c r="T50" s="5">
        <f t="shared" si="12"/>
        <v>0.27</v>
      </c>
      <c r="U50" s="5">
        <f t="shared" si="13"/>
        <v>7.0650000000000004</v>
      </c>
      <c r="V50" s="23">
        <f t="shared" si="14"/>
        <v>38.216560509554135</v>
      </c>
      <c r="W50" s="5">
        <f t="shared" si="15"/>
        <v>15</v>
      </c>
      <c r="X50" s="5">
        <v>-1.6314</v>
      </c>
      <c r="Y50" s="34">
        <v>4.9161000000000001</v>
      </c>
      <c r="Z50" s="9">
        <f t="shared" si="23"/>
        <v>2.9365200000000001E-2</v>
      </c>
      <c r="AA50" s="9">
        <f t="shared" si="24"/>
        <v>9.0765784727730328</v>
      </c>
      <c r="AB50" s="9">
        <v>0.97060000000000002</v>
      </c>
    </row>
    <row r="51" spans="2:28" ht="13.8">
      <c r="B51" s="5">
        <v>18</v>
      </c>
      <c r="C51" s="5">
        <v>20</v>
      </c>
      <c r="D51" s="5">
        <v>4.5</v>
      </c>
      <c r="E51" s="5">
        <f t="shared" si="6"/>
        <v>270</v>
      </c>
      <c r="F51" s="5">
        <f t="shared" si="7"/>
        <v>0.27</v>
      </c>
      <c r="G51" s="5">
        <f t="shared" si="8"/>
        <v>7.0650000000000004</v>
      </c>
      <c r="H51" s="23">
        <f t="shared" si="9"/>
        <v>38.216560509554135</v>
      </c>
      <c r="I51" s="5">
        <f t="shared" si="10"/>
        <v>10</v>
      </c>
      <c r="J51" s="5">
        <v>-1.4056</v>
      </c>
      <c r="K51" s="34">
        <v>5.1387</v>
      </c>
      <c r="L51" s="9">
        <f t="shared" si="21"/>
        <v>3.7951200000000004E-2</v>
      </c>
      <c r="M51" s="9">
        <f t="shared" si="22"/>
        <v>7.3411174578793252</v>
      </c>
      <c r="N51" s="9">
        <v>0.96660000000000001</v>
      </c>
      <c r="P51" s="5">
        <v>18</v>
      </c>
      <c r="Q51" s="5">
        <v>20</v>
      </c>
      <c r="R51" s="5">
        <v>4.5</v>
      </c>
      <c r="S51" s="5">
        <f t="shared" si="11"/>
        <v>270</v>
      </c>
      <c r="T51" s="5">
        <f t="shared" si="12"/>
        <v>0.27</v>
      </c>
      <c r="U51" s="5">
        <f t="shared" si="13"/>
        <v>7.0650000000000004</v>
      </c>
      <c r="V51" s="23">
        <f t="shared" si="14"/>
        <v>38.216560509554135</v>
      </c>
      <c r="W51" s="5">
        <f t="shared" si="15"/>
        <v>15</v>
      </c>
      <c r="X51" s="5">
        <v>-1.6314</v>
      </c>
      <c r="Y51" s="34">
        <v>4.9161000000000001</v>
      </c>
      <c r="Z51" s="9">
        <f t="shared" si="23"/>
        <v>2.9365200000000001E-2</v>
      </c>
      <c r="AA51" s="9">
        <f t="shared" si="24"/>
        <v>9.0765784727730328</v>
      </c>
      <c r="AB51" s="9">
        <v>0.97060000000000002</v>
      </c>
    </row>
    <row r="52" spans="2:28" ht="13.8">
      <c r="B52" s="5">
        <v>19</v>
      </c>
      <c r="C52" s="5">
        <v>20</v>
      </c>
      <c r="D52" s="5">
        <v>4.5</v>
      </c>
      <c r="E52" s="5">
        <f t="shared" si="6"/>
        <v>270</v>
      </c>
      <c r="F52" s="5">
        <f t="shared" si="7"/>
        <v>0.27</v>
      </c>
      <c r="G52" s="5">
        <f t="shared" si="8"/>
        <v>7.0650000000000004</v>
      </c>
      <c r="H52" s="23">
        <f t="shared" si="9"/>
        <v>38.216560509554135</v>
      </c>
      <c r="I52" s="5">
        <f t="shared" si="10"/>
        <v>10</v>
      </c>
      <c r="J52" s="5">
        <v>-1.4056</v>
      </c>
      <c r="K52" s="34">
        <v>5.1387</v>
      </c>
      <c r="L52" s="9">
        <f t="shared" si="21"/>
        <v>3.7951200000000004E-2</v>
      </c>
      <c r="M52" s="9">
        <f t="shared" si="22"/>
        <v>7.3411174578793252</v>
      </c>
      <c r="N52" s="9">
        <v>0.96660000000000001</v>
      </c>
    </row>
    <row r="53" spans="2:28" ht="13.8">
      <c r="B53" s="5">
        <v>20</v>
      </c>
      <c r="C53" s="5">
        <v>20</v>
      </c>
      <c r="D53" s="5">
        <v>4.5</v>
      </c>
      <c r="E53" s="5">
        <f t="shared" si="6"/>
        <v>270</v>
      </c>
      <c r="F53" s="5">
        <f t="shared" si="7"/>
        <v>0.27</v>
      </c>
      <c r="G53" s="5">
        <f t="shared" si="8"/>
        <v>7.0650000000000004</v>
      </c>
      <c r="H53" s="23">
        <f t="shared" si="9"/>
        <v>38.216560509554135</v>
      </c>
      <c r="I53" s="5">
        <f t="shared" si="10"/>
        <v>10</v>
      </c>
      <c r="J53" s="5">
        <v>-1.4056</v>
      </c>
      <c r="K53" s="34">
        <v>5.1387</v>
      </c>
      <c r="L53" s="9">
        <f t="shared" si="21"/>
        <v>3.7951200000000004E-2</v>
      </c>
      <c r="M53" s="9">
        <f t="shared" si="22"/>
        <v>7.3411174578793252</v>
      </c>
      <c r="N53" s="9">
        <v>0.96660000000000001</v>
      </c>
    </row>
    <row r="54" spans="2:28" ht="13.8">
      <c r="B54" s="5">
        <v>21</v>
      </c>
      <c r="C54" s="5">
        <v>20</v>
      </c>
      <c r="D54" s="5">
        <v>4.5</v>
      </c>
      <c r="E54" s="5">
        <f t="shared" si="6"/>
        <v>270</v>
      </c>
      <c r="F54" s="5">
        <f t="shared" si="7"/>
        <v>0.27</v>
      </c>
      <c r="G54" s="5">
        <f t="shared" si="8"/>
        <v>7.0650000000000004</v>
      </c>
      <c r="H54" s="23">
        <f t="shared" si="9"/>
        <v>38.216560509554135</v>
      </c>
      <c r="I54" s="5">
        <f t="shared" si="10"/>
        <v>10</v>
      </c>
      <c r="J54" s="5">
        <v>-1.4056</v>
      </c>
      <c r="K54" s="34">
        <v>5.1387</v>
      </c>
      <c r="L54" s="9">
        <f t="shared" si="21"/>
        <v>3.7951200000000004E-2</v>
      </c>
      <c r="M54" s="9">
        <f t="shared" si="22"/>
        <v>7.3411174578793252</v>
      </c>
      <c r="N54" s="9">
        <v>0.96660000000000001</v>
      </c>
    </row>
    <row r="55" spans="2:28" ht="13.8">
      <c r="B55" s="5">
        <v>22</v>
      </c>
      <c r="C55" s="5">
        <v>20</v>
      </c>
      <c r="D55" s="5">
        <v>4.5</v>
      </c>
      <c r="E55" s="5">
        <f t="shared" si="6"/>
        <v>270</v>
      </c>
      <c r="F55" s="5">
        <f t="shared" si="7"/>
        <v>0.27</v>
      </c>
      <c r="G55" s="5">
        <f t="shared" si="8"/>
        <v>7.0650000000000004</v>
      </c>
      <c r="H55" s="23">
        <f t="shared" si="9"/>
        <v>38.216560509554135</v>
      </c>
      <c r="I55" s="5">
        <f t="shared" si="10"/>
        <v>10</v>
      </c>
      <c r="J55" s="5">
        <v>-1.4056</v>
      </c>
      <c r="K55" s="34">
        <v>5.1387</v>
      </c>
      <c r="L55" s="9">
        <f t="shared" si="21"/>
        <v>3.7951200000000004E-2</v>
      </c>
      <c r="M55" s="9">
        <f t="shared" si="22"/>
        <v>7.3411174578793252</v>
      </c>
      <c r="N55" s="9">
        <v>0.96660000000000001</v>
      </c>
    </row>
  </sheetData>
  <mergeCells count="10">
    <mergeCell ref="AD2:AK2"/>
    <mergeCell ref="AD19:AI19"/>
    <mergeCell ref="AD20:AI20"/>
    <mergeCell ref="B27:G27"/>
    <mergeCell ref="B28:G28"/>
    <mergeCell ref="B31:I31"/>
    <mergeCell ref="B2:I2"/>
    <mergeCell ref="P2:W2"/>
    <mergeCell ref="P23:U23"/>
    <mergeCell ref="P24:U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D9EE-B659-46D3-87A7-B722888708FB}">
  <dimension ref="B2:AC52"/>
  <sheetViews>
    <sheetView topLeftCell="K24" zoomScale="85" zoomScaleNormal="85" workbookViewId="0">
      <selection activeCell="X52" sqref="X52"/>
    </sheetView>
  </sheetViews>
  <sheetFormatPr defaultRowHeight="13.8"/>
  <cols>
    <col min="1" max="1" width="8.88671875" style="76"/>
    <col min="2" max="2" width="18.6640625" style="76" customWidth="1"/>
    <col min="3" max="3" width="25.77734375" style="76" customWidth="1"/>
    <col min="4" max="4" width="12.21875" style="76" customWidth="1"/>
    <col min="5" max="5" width="13.21875" style="76" customWidth="1"/>
    <col min="6" max="6" width="16.6640625" style="76" customWidth="1"/>
    <col min="7" max="7" width="12.109375" style="76" customWidth="1"/>
    <col min="8" max="8" width="11.77734375" style="76" customWidth="1"/>
    <col min="9" max="11" width="8.88671875" style="76"/>
    <col min="12" max="12" width="18.44140625" style="76" customWidth="1"/>
    <col min="13" max="13" width="26" style="76" customWidth="1"/>
    <col min="14" max="14" width="12" style="76" customWidth="1"/>
    <col min="15" max="15" width="16.88671875" style="76" customWidth="1"/>
    <col min="16" max="16" width="16" style="76" customWidth="1"/>
    <col min="17" max="17" width="12.88671875" style="76" customWidth="1"/>
    <col min="18" max="18" width="13.33203125" style="76" customWidth="1"/>
    <col min="19" max="21" width="8.88671875" style="76"/>
    <col min="22" max="22" width="19.109375" style="76" customWidth="1"/>
    <col min="23" max="23" width="25.109375" style="76" customWidth="1"/>
    <col min="24" max="24" width="13.33203125" style="76" customWidth="1"/>
    <col min="25" max="25" width="15.21875" style="76" customWidth="1"/>
    <col min="26" max="26" width="15.33203125" style="76" customWidth="1"/>
    <col min="27" max="27" width="13.44140625" style="76" customWidth="1"/>
    <col min="28" max="28" width="12.88671875" style="76" customWidth="1"/>
    <col min="29" max="16384" width="8.88671875" style="76"/>
  </cols>
  <sheetData>
    <row r="2" spans="2:29" ht="32.4" customHeight="1">
      <c r="B2" s="102" t="s">
        <v>51</v>
      </c>
      <c r="C2" s="102"/>
      <c r="D2" s="102"/>
      <c r="E2" s="102"/>
      <c r="F2" s="102"/>
      <c r="G2" s="102"/>
      <c r="H2" s="102"/>
      <c r="I2" s="102"/>
      <c r="J2" s="101"/>
      <c r="K2" s="101"/>
      <c r="L2" s="60" t="s">
        <v>40</v>
      </c>
      <c r="M2" s="55"/>
      <c r="N2" s="55"/>
      <c r="O2" s="55"/>
      <c r="P2" s="55"/>
      <c r="Q2" s="55"/>
      <c r="R2" s="55"/>
      <c r="S2" s="55"/>
      <c r="V2" s="60" t="s">
        <v>42</v>
      </c>
      <c r="W2" s="46"/>
      <c r="X2" s="46"/>
      <c r="Y2" s="46"/>
      <c r="Z2" s="46"/>
      <c r="AA2" s="46"/>
      <c r="AB2" s="46"/>
      <c r="AC2" s="46"/>
    </row>
    <row r="3" spans="2:29" ht="82.8">
      <c r="B3" s="74" t="s">
        <v>0</v>
      </c>
      <c r="C3" s="71" t="s">
        <v>1</v>
      </c>
      <c r="D3" s="71" t="s">
        <v>2</v>
      </c>
      <c r="E3" s="71" t="s">
        <v>36</v>
      </c>
      <c r="F3" s="71" t="s">
        <v>4</v>
      </c>
      <c r="G3" s="71" t="s">
        <v>5</v>
      </c>
      <c r="H3" s="71" t="s">
        <v>45</v>
      </c>
      <c r="I3" s="74" t="s">
        <v>7</v>
      </c>
      <c r="J3" s="80"/>
      <c r="K3" s="80"/>
      <c r="L3" s="24" t="s">
        <v>0</v>
      </c>
      <c r="M3" s="53" t="s">
        <v>1</v>
      </c>
      <c r="N3" s="53" t="s">
        <v>2</v>
      </c>
      <c r="O3" s="53" t="s">
        <v>36</v>
      </c>
      <c r="P3" s="53" t="s">
        <v>43</v>
      </c>
      <c r="Q3" s="53" t="s">
        <v>5</v>
      </c>
      <c r="R3" s="73" t="s">
        <v>45</v>
      </c>
      <c r="S3" s="24" t="s">
        <v>7</v>
      </c>
      <c r="V3" s="28" t="s">
        <v>0</v>
      </c>
      <c r="W3" s="54" t="s">
        <v>1</v>
      </c>
      <c r="X3" s="54" t="s">
        <v>2</v>
      </c>
      <c r="Y3" s="54" t="s">
        <v>3</v>
      </c>
      <c r="Z3" s="54" t="s">
        <v>43</v>
      </c>
      <c r="AA3" s="54" t="s">
        <v>5</v>
      </c>
      <c r="AB3" s="72" t="s">
        <v>45</v>
      </c>
      <c r="AC3" s="28" t="s">
        <v>7</v>
      </c>
    </row>
    <row r="4" spans="2:29">
      <c r="B4" s="75" t="s">
        <v>8</v>
      </c>
      <c r="C4" s="75" t="s">
        <v>9</v>
      </c>
      <c r="D4" s="75" t="s">
        <v>10</v>
      </c>
      <c r="E4" s="75" t="s">
        <v>10</v>
      </c>
      <c r="F4" s="75"/>
      <c r="G4" s="75" t="s">
        <v>11</v>
      </c>
      <c r="H4" s="75"/>
      <c r="I4" s="75"/>
      <c r="J4" s="79"/>
      <c r="K4" s="79"/>
      <c r="L4" s="25" t="s">
        <v>8</v>
      </c>
      <c r="M4" s="25" t="s">
        <v>9</v>
      </c>
      <c r="N4" s="25" t="s">
        <v>10</v>
      </c>
      <c r="O4" s="25" t="s">
        <v>10</v>
      </c>
      <c r="P4" s="25" t="s">
        <v>33</v>
      </c>
      <c r="Q4" s="25" t="s">
        <v>11</v>
      </c>
      <c r="R4" s="25"/>
      <c r="S4" s="25"/>
      <c r="V4" s="29" t="s">
        <v>8</v>
      </c>
      <c r="W4" s="29" t="s">
        <v>9</v>
      </c>
      <c r="X4" s="29" t="s">
        <v>10</v>
      </c>
      <c r="Y4" s="29" t="s">
        <v>10</v>
      </c>
      <c r="Z4" s="29" t="s">
        <v>33</v>
      </c>
      <c r="AA4" s="29" t="s">
        <v>11</v>
      </c>
      <c r="AB4" s="29"/>
      <c r="AC4" s="29"/>
    </row>
    <row r="5" spans="2:29">
      <c r="B5" s="58">
        <v>1</v>
      </c>
      <c r="C5" s="58">
        <v>1</v>
      </c>
      <c r="D5" s="58">
        <v>10</v>
      </c>
      <c r="E5" s="81">
        <v>0.1232</v>
      </c>
      <c r="F5" s="82">
        <v>0.27</v>
      </c>
      <c r="G5" s="83">
        <v>0.99</v>
      </c>
      <c r="H5" s="56">
        <f>LN(E5/(D5-E5))</f>
        <v>-4.3841348005402123</v>
      </c>
      <c r="I5" s="56">
        <f t="shared" ref="I5:I26" si="0">E5/D5</f>
        <v>1.2320000000000001E-2</v>
      </c>
      <c r="J5" s="79"/>
      <c r="K5" s="79"/>
      <c r="L5" s="5">
        <v>1</v>
      </c>
      <c r="M5" s="5">
        <v>1</v>
      </c>
      <c r="N5" s="6">
        <v>15</v>
      </c>
      <c r="O5" s="6">
        <v>0.26</v>
      </c>
      <c r="P5" s="6">
        <v>0.27</v>
      </c>
      <c r="Q5" s="8">
        <v>0.98</v>
      </c>
      <c r="R5" s="9">
        <f>LN(O5/(N5-O5))</f>
        <v>-4.0376385347278001</v>
      </c>
      <c r="S5" s="9">
        <f t="shared" ref="S5:S22" si="1">O5/N5</f>
        <v>1.7333333333333333E-2</v>
      </c>
      <c r="V5" s="5">
        <v>1</v>
      </c>
      <c r="W5" s="5">
        <v>1</v>
      </c>
      <c r="X5" s="6">
        <v>20</v>
      </c>
      <c r="Y5" s="6">
        <v>0.34599999999999997</v>
      </c>
      <c r="Z5" s="6">
        <v>0.27</v>
      </c>
      <c r="AA5" s="8">
        <v>0.98</v>
      </c>
      <c r="AB5" s="9">
        <f>LN(Y5/(X5-Y5))</f>
        <v>-4.0395973838646482</v>
      </c>
      <c r="AC5" s="9">
        <f t="shared" ref="AC5:AC18" si="2">Y5/X5</f>
        <v>1.7299999999999999E-2</v>
      </c>
    </row>
    <row r="6" spans="2:29">
      <c r="B6" s="58">
        <v>2</v>
      </c>
      <c r="C6" s="58">
        <v>2</v>
      </c>
      <c r="D6" s="58">
        <v>10</v>
      </c>
      <c r="E6" s="81">
        <v>0.22289999999999999</v>
      </c>
      <c r="F6" s="82">
        <v>0.54</v>
      </c>
      <c r="G6" s="83">
        <v>0.98</v>
      </c>
      <c r="H6" s="56">
        <f t="shared" ref="H6:H26" si="3">LN(E6/(D6-E6))</f>
        <v>-3.7810749551478668</v>
      </c>
      <c r="I6" s="56">
        <f t="shared" si="0"/>
        <v>2.2289999999999997E-2</v>
      </c>
      <c r="J6" s="79"/>
      <c r="K6" s="79"/>
      <c r="L6" s="5">
        <v>2</v>
      </c>
      <c r="M6" s="5">
        <v>2</v>
      </c>
      <c r="N6" s="6">
        <v>15</v>
      </c>
      <c r="O6" s="6">
        <v>0.501</v>
      </c>
      <c r="P6" s="6">
        <v>0.54</v>
      </c>
      <c r="Q6" s="8">
        <v>0.97</v>
      </c>
      <c r="R6" s="9">
        <f t="shared" ref="R6:R22" si="4">LN(O6/(N6-O6))</f>
        <v>-3.3652288594283291</v>
      </c>
      <c r="S6" s="9">
        <f t="shared" si="1"/>
        <v>3.3399999999999999E-2</v>
      </c>
      <c r="V6" s="5">
        <v>2</v>
      </c>
      <c r="W6" s="5">
        <v>2</v>
      </c>
      <c r="X6" s="6">
        <v>20</v>
      </c>
      <c r="Y6" s="6">
        <v>0.66800000000000004</v>
      </c>
      <c r="Z6" s="6">
        <v>0.54</v>
      </c>
      <c r="AA6" s="8">
        <v>0.97</v>
      </c>
      <c r="AB6" s="9">
        <f t="shared" ref="AB6:AB18" si="5">LN(Y6/(X6-Y6))</f>
        <v>-3.3652288594283291</v>
      </c>
      <c r="AC6" s="9">
        <f t="shared" si="2"/>
        <v>3.3399999999999999E-2</v>
      </c>
    </row>
    <row r="7" spans="2:29">
      <c r="B7" s="58">
        <v>3</v>
      </c>
      <c r="C7" s="58">
        <v>3</v>
      </c>
      <c r="D7" s="58">
        <v>10</v>
      </c>
      <c r="E7" s="81">
        <v>0.31330000000000002</v>
      </c>
      <c r="F7" s="82">
        <v>0.81</v>
      </c>
      <c r="G7" s="83">
        <v>0.97</v>
      </c>
      <c r="H7" s="56">
        <f t="shared" si="3"/>
        <v>-3.4313478916483255</v>
      </c>
      <c r="I7" s="56">
        <f t="shared" si="0"/>
        <v>3.1330000000000004E-2</v>
      </c>
      <c r="J7" s="79"/>
      <c r="K7" s="79"/>
      <c r="L7" s="5">
        <v>3</v>
      </c>
      <c r="M7" s="5">
        <v>3</v>
      </c>
      <c r="N7" s="6">
        <v>15</v>
      </c>
      <c r="O7" s="6">
        <v>0.51700000000000002</v>
      </c>
      <c r="P7" s="6">
        <v>0.81</v>
      </c>
      <c r="Q7" s="8">
        <v>0.97</v>
      </c>
      <c r="R7" s="9">
        <f t="shared" si="4"/>
        <v>-3.3326879522924271</v>
      </c>
      <c r="S7" s="9">
        <f t="shared" si="1"/>
        <v>3.4466666666666666E-2</v>
      </c>
      <c r="V7" s="10">
        <v>3</v>
      </c>
      <c r="W7" s="10">
        <v>3</v>
      </c>
      <c r="X7" s="11">
        <v>20</v>
      </c>
      <c r="Y7" s="11">
        <v>0.94599999999999995</v>
      </c>
      <c r="Z7" s="11">
        <v>0.81</v>
      </c>
      <c r="AA7" s="13">
        <v>0.95</v>
      </c>
      <c r="AB7" s="9">
        <f t="shared" si="5"/>
        <v>-3.0027897632148464</v>
      </c>
      <c r="AC7" s="9">
        <f t="shared" si="2"/>
        <v>4.7299999999999995E-2</v>
      </c>
    </row>
    <row r="8" spans="2:29">
      <c r="B8" s="58">
        <v>4</v>
      </c>
      <c r="C8" s="58">
        <v>4</v>
      </c>
      <c r="D8" s="58">
        <v>10</v>
      </c>
      <c r="E8" s="81">
        <v>0.34350000000000003</v>
      </c>
      <c r="F8" s="82">
        <v>1.08</v>
      </c>
      <c r="G8" s="83">
        <v>0.97</v>
      </c>
      <c r="H8" s="56">
        <f t="shared" si="3"/>
        <v>-3.3361994310502499</v>
      </c>
      <c r="I8" s="56">
        <f t="shared" si="0"/>
        <v>3.4350000000000006E-2</v>
      </c>
      <c r="J8" s="79"/>
      <c r="K8" s="79"/>
      <c r="L8" s="5">
        <v>4</v>
      </c>
      <c r="M8" s="5">
        <v>4</v>
      </c>
      <c r="N8" s="6">
        <v>15</v>
      </c>
      <c r="O8" s="6">
        <v>0.57499999999999996</v>
      </c>
      <c r="P8" s="6">
        <v>1.08</v>
      </c>
      <c r="Q8" s="8">
        <v>0.96</v>
      </c>
      <c r="R8" s="9">
        <f t="shared" si="4"/>
        <v>-3.2223480505789501</v>
      </c>
      <c r="S8" s="9">
        <f t="shared" si="1"/>
        <v>3.833333333333333E-2</v>
      </c>
      <c r="V8" s="5">
        <v>4</v>
      </c>
      <c r="W8" s="5">
        <v>4</v>
      </c>
      <c r="X8" s="6">
        <v>20</v>
      </c>
      <c r="Y8" s="6">
        <v>1.1759999999999999</v>
      </c>
      <c r="Z8" s="6">
        <v>1.08</v>
      </c>
      <c r="AA8" s="8">
        <v>0.94</v>
      </c>
      <c r="AB8" s="9">
        <f t="shared" si="5"/>
        <v>-2.7730138019486263</v>
      </c>
      <c r="AC8" s="9">
        <f t="shared" si="2"/>
        <v>5.8799999999999998E-2</v>
      </c>
    </row>
    <row r="9" spans="2:29">
      <c r="B9" s="58">
        <v>5</v>
      </c>
      <c r="C9" s="58">
        <v>5</v>
      </c>
      <c r="D9" s="58">
        <v>10</v>
      </c>
      <c r="E9" s="81">
        <v>0.29480000000000001</v>
      </c>
      <c r="F9" s="82">
        <v>1.35</v>
      </c>
      <c r="G9" s="83">
        <v>0.97</v>
      </c>
      <c r="H9" s="56">
        <f t="shared" si="3"/>
        <v>-3.4941199430096432</v>
      </c>
      <c r="I9" s="56">
        <f t="shared" si="0"/>
        <v>2.9479999999999999E-2</v>
      </c>
      <c r="J9" s="79"/>
      <c r="K9" s="79"/>
      <c r="L9" s="5">
        <v>5</v>
      </c>
      <c r="M9" s="5">
        <v>5</v>
      </c>
      <c r="N9" s="6">
        <v>15</v>
      </c>
      <c r="O9" s="6">
        <v>0.71</v>
      </c>
      <c r="P9" s="6">
        <v>1.35</v>
      </c>
      <c r="Q9" s="8">
        <v>0.95</v>
      </c>
      <c r="R9" s="9">
        <f t="shared" si="4"/>
        <v>-3.002050300888552</v>
      </c>
      <c r="S9" s="9">
        <f t="shared" si="1"/>
        <v>4.7333333333333331E-2</v>
      </c>
      <c r="V9" s="5">
        <v>5</v>
      </c>
      <c r="W9" s="5">
        <v>5</v>
      </c>
      <c r="X9" s="6">
        <v>20</v>
      </c>
      <c r="Y9" s="6">
        <v>2.2650000000000001</v>
      </c>
      <c r="Z9" s="6">
        <v>1.35</v>
      </c>
      <c r="AA9" s="8">
        <v>0.89</v>
      </c>
      <c r="AB9" s="9">
        <f t="shared" si="5"/>
        <v>-2.057965329290588</v>
      </c>
      <c r="AC9" s="9">
        <f t="shared" si="2"/>
        <v>0.11325</v>
      </c>
    </row>
    <row r="10" spans="2:29">
      <c r="B10" s="58">
        <v>6</v>
      </c>
      <c r="C10" s="58">
        <v>6</v>
      </c>
      <c r="D10" s="58">
        <v>10</v>
      </c>
      <c r="E10" s="81">
        <v>0.35970000000000002</v>
      </c>
      <c r="F10" s="82">
        <v>1.62</v>
      </c>
      <c r="G10" s="83">
        <v>0.96</v>
      </c>
      <c r="H10" s="56">
        <f t="shared" si="3"/>
        <v>-3.2884371567507356</v>
      </c>
      <c r="I10" s="56">
        <f t="shared" si="0"/>
        <v>3.5970000000000002E-2</v>
      </c>
      <c r="J10" s="79"/>
      <c r="K10" s="79"/>
      <c r="L10" s="10">
        <v>6</v>
      </c>
      <c r="M10" s="10">
        <v>6</v>
      </c>
      <c r="N10" s="11">
        <v>15</v>
      </c>
      <c r="O10" s="11">
        <v>0.88200000000000001</v>
      </c>
      <c r="P10" s="11">
        <v>1.62</v>
      </c>
      <c r="Q10" s="13">
        <v>0.94</v>
      </c>
      <c r="R10" s="9">
        <f t="shared" si="4"/>
        <v>-2.7730138019486263</v>
      </c>
      <c r="S10" s="9">
        <f t="shared" si="1"/>
        <v>5.8799999999999998E-2</v>
      </c>
      <c r="V10" s="5">
        <v>6</v>
      </c>
      <c r="W10" s="5">
        <v>6</v>
      </c>
      <c r="X10" s="6">
        <v>20</v>
      </c>
      <c r="Y10" s="6">
        <v>3.6379999999999999</v>
      </c>
      <c r="Z10" s="6">
        <v>1.62</v>
      </c>
      <c r="AA10" s="8">
        <v>0.82</v>
      </c>
      <c r="AB10" s="9">
        <f t="shared" si="5"/>
        <v>-1.503527492995576</v>
      </c>
      <c r="AC10" s="9">
        <f t="shared" si="2"/>
        <v>0.18190000000000001</v>
      </c>
    </row>
    <row r="11" spans="2:29">
      <c r="B11" s="58">
        <v>7</v>
      </c>
      <c r="C11" s="58">
        <v>7</v>
      </c>
      <c r="D11" s="58">
        <v>10</v>
      </c>
      <c r="E11" s="81">
        <v>0.42230000000000001</v>
      </c>
      <c r="F11" s="82">
        <v>1.89</v>
      </c>
      <c r="G11" s="83">
        <v>0.96</v>
      </c>
      <c r="H11" s="56">
        <f t="shared" si="3"/>
        <v>-3.1214767966930426</v>
      </c>
      <c r="I11" s="56">
        <f t="shared" si="0"/>
        <v>4.2230000000000004E-2</v>
      </c>
      <c r="J11" s="79"/>
      <c r="K11" s="79"/>
      <c r="L11" s="5">
        <v>7</v>
      </c>
      <c r="M11" s="5">
        <v>7</v>
      </c>
      <c r="N11" s="6">
        <v>15</v>
      </c>
      <c r="O11" s="6">
        <v>1.6990000000000001</v>
      </c>
      <c r="P11" s="6">
        <v>1.89</v>
      </c>
      <c r="Q11" s="8">
        <v>0.89</v>
      </c>
      <c r="R11" s="9">
        <f t="shared" si="4"/>
        <v>-2.0577993776813641</v>
      </c>
      <c r="S11" s="9">
        <f t="shared" si="1"/>
        <v>0.11326666666666667</v>
      </c>
      <c r="V11" s="5">
        <v>7</v>
      </c>
      <c r="W11" s="5">
        <v>7</v>
      </c>
      <c r="X11" s="6">
        <v>20</v>
      </c>
      <c r="Y11" s="6">
        <v>5.4930000000000003</v>
      </c>
      <c r="Z11" s="6">
        <v>1.89</v>
      </c>
      <c r="AA11" s="8">
        <v>0.73</v>
      </c>
      <c r="AB11" s="9">
        <f t="shared" si="5"/>
        <v>-0.97115673719628159</v>
      </c>
      <c r="AC11" s="9">
        <f t="shared" si="2"/>
        <v>0.27465000000000001</v>
      </c>
    </row>
    <row r="12" spans="2:29">
      <c r="B12" s="58">
        <v>8</v>
      </c>
      <c r="C12" s="58">
        <v>8</v>
      </c>
      <c r="D12" s="58">
        <v>10</v>
      </c>
      <c r="E12" s="81">
        <v>0.48259999999999997</v>
      </c>
      <c r="F12" s="82">
        <v>2.16</v>
      </c>
      <c r="G12" s="83">
        <v>0.95</v>
      </c>
      <c r="H12" s="56">
        <f t="shared" si="3"/>
        <v>-2.981688828049661</v>
      </c>
      <c r="I12" s="56">
        <f t="shared" si="0"/>
        <v>4.8259999999999997E-2</v>
      </c>
      <c r="J12" s="79"/>
      <c r="K12" s="79"/>
      <c r="L12" s="5">
        <v>8</v>
      </c>
      <c r="M12" s="5">
        <v>8</v>
      </c>
      <c r="N12" s="6">
        <v>15</v>
      </c>
      <c r="O12" s="6">
        <v>2.7290000000000001</v>
      </c>
      <c r="P12" s="6">
        <v>2.16</v>
      </c>
      <c r="Q12" s="8">
        <v>0.82</v>
      </c>
      <c r="R12" s="9">
        <f t="shared" si="4"/>
        <v>-1.5033035132682093</v>
      </c>
      <c r="S12" s="9">
        <f t="shared" si="1"/>
        <v>0.18193333333333334</v>
      </c>
      <c r="V12" s="5">
        <v>8</v>
      </c>
      <c r="W12" s="5">
        <v>8</v>
      </c>
      <c r="X12" s="6">
        <v>20</v>
      </c>
      <c r="Y12" s="6">
        <v>5.5679999999999996</v>
      </c>
      <c r="Z12" s="6">
        <v>2.16</v>
      </c>
      <c r="AA12" s="8">
        <v>0.72</v>
      </c>
      <c r="AB12" s="9">
        <f t="shared" si="5"/>
        <v>-0.95241204028814952</v>
      </c>
      <c r="AC12" s="9">
        <f t="shared" si="2"/>
        <v>0.27839999999999998</v>
      </c>
    </row>
    <row r="13" spans="2:29">
      <c r="B13" s="84">
        <v>9</v>
      </c>
      <c r="C13" s="84">
        <v>9</v>
      </c>
      <c r="D13" s="84">
        <v>10</v>
      </c>
      <c r="E13" s="85">
        <v>1.3373999999999999</v>
      </c>
      <c r="F13" s="86">
        <v>2.4300000000000002</v>
      </c>
      <c r="G13" s="87">
        <v>0.87</v>
      </c>
      <c r="H13" s="61">
        <f t="shared" si="3"/>
        <v>-1.868287477823193</v>
      </c>
      <c r="I13" s="88">
        <f t="shared" si="0"/>
        <v>0.13374</v>
      </c>
      <c r="J13" s="79"/>
      <c r="K13" s="79"/>
      <c r="L13" s="5">
        <v>9</v>
      </c>
      <c r="M13" s="5">
        <v>9</v>
      </c>
      <c r="N13" s="6">
        <v>15</v>
      </c>
      <c r="O13" s="6">
        <v>4.12</v>
      </c>
      <c r="P13" s="6">
        <v>2.4300000000000002</v>
      </c>
      <c r="Q13" s="8">
        <v>0.73</v>
      </c>
      <c r="R13" s="9">
        <f t="shared" si="4"/>
        <v>-0.97107307806636145</v>
      </c>
      <c r="S13" s="9">
        <f t="shared" si="1"/>
        <v>0.27466666666666667</v>
      </c>
      <c r="V13" s="5">
        <v>9</v>
      </c>
      <c r="W13" s="5">
        <v>9</v>
      </c>
      <c r="X13" s="6">
        <v>20</v>
      </c>
      <c r="Y13" s="6">
        <v>8.24</v>
      </c>
      <c r="Z13" s="6">
        <v>2.4300000000000002</v>
      </c>
      <c r="AA13" s="8">
        <v>0.59</v>
      </c>
      <c r="AB13" s="9">
        <f t="shared" si="5"/>
        <v>-0.35570359854910055</v>
      </c>
      <c r="AC13" s="9">
        <f t="shared" si="2"/>
        <v>0.41200000000000003</v>
      </c>
    </row>
    <row r="14" spans="2:29">
      <c r="B14" s="58">
        <v>10</v>
      </c>
      <c r="C14" s="58">
        <v>10</v>
      </c>
      <c r="D14" s="58">
        <v>10</v>
      </c>
      <c r="E14" s="81">
        <v>2.0053000000000001</v>
      </c>
      <c r="F14" s="82">
        <v>2.7</v>
      </c>
      <c r="G14" s="83">
        <v>0.8</v>
      </c>
      <c r="H14" s="56">
        <f t="shared" si="3"/>
        <v>-1.3829851466288867</v>
      </c>
      <c r="I14" s="56">
        <f t="shared" si="0"/>
        <v>0.20053000000000001</v>
      </c>
      <c r="J14" s="79"/>
      <c r="K14" s="79"/>
      <c r="L14" s="5">
        <v>10</v>
      </c>
      <c r="M14" s="5">
        <v>10</v>
      </c>
      <c r="N14" s="6">
        <v>15</v>
      </c>
      <c r="O14" s="6">
        <v>4.1760000000000002</v>
      </c>
      <c r="P14" s="6">
        <v>2.7</v>
      </c>
      <c r="Q14" s="8">
        <v>0.72</v>
      </c>
      <c r="R14" s="9">
        <f t="shared" si="4"/>
        <v>-0.9524120402881493</v>
      </c>
      <c r="S14" s="9">
        <f t="shared" si="1"/>
        <v>0.27840000000000004</v>
      </c>
      <c r="V14" s="5">
        <v>10</v>
      </c>
      <c r="W14" s="5">
        <v>10</v>
      </c>
      <c r="X14" s="6">
        <v>20</v>
      </c>
      <c r="Y14" s="6">
        <v>11.728</v>
      </c>
      <c r="Z14" s="6">
        <v>2.7</v>
      </c>
      <c r="AA14" s="8">
        <v>0.41</v>
      </c>
      <c r="AB14" s="9">
        <f t="shared" si="5"/>
        <v>0.34910282737822235</v>
      </c>
      <c r="AC14" s="9">
        <f t="shared" si="2"/>
        <v>0.58640000000000003</v>
      </c>
    </row>
    <row r="15" spans="2:29">
      <c r="B15" s="58">
        <v>11</v>
      </c>
      <c r="C15" s="58">
        <v>11</v>
      </c>
      <c r="D15" s="58">
        <v>10</v>
      </c>
      <c r="E15" s="81">
        <v>3.4662999999999999</v>
      </c>
      <c r="F15" s="82">
        <v>2.97</v>
      </c>
      <c r="G15" s="83">
        <v>0.65</v>
      </c>
      <c r="H15" s="56">
        <f t="shared" si="3"/>
        <v>-0.63388565578804723</v>
      </c>
      <c r="I15" s="56">
        <f t="shared" si="0"/>
        <v>0.34662999999999999</v>
      </c>
      <c r="J15" s="79"/>
      <c r="K15" s="79"/>
      <c r="L15" s="5">
        <v>11</v>
      </c>
      <c r="M15" s="5">
        <v>11</v>
      </c>
      <c r="N15" s="6">
        <v>15</v>
      </c>
      <c r="O15" s="6">
        <v>6.18</v>
      </c>
      <c r="P15" s="6">
        <v>2.97</v>
      </c>
      <c r="Q15" s="8">
        <v>0.59</v>
      </c>
      <c r="R15" s="9">
        <f t="shared" si="4"/>
        <v>-0.35570359854910066</v>
      </c>
      <c r="S15" s="9">
        <f t="shared" si="1"/>
        <v>0.41199999999999998</v>
      </c>
      <c r="V15" s="5">
        <v>11</v>
      </c>
      <c r="W15" s="5">
        <v>11</v>
      </c>
      <c r="X15" s="6">
        <v>20</v>
      </c>
      <c r="Y15" s="6">
        <v>14.752000000000001</v>
      </c>
      <c r="Z15" s="6">
        <v>2.97</v>
      </c>
      <c r="AA15" s="8">
        <v>0.26</v>
      </c>
      <c r="AB15" s="9">
        <f t="shared" si="5"/>
        <v>1.0335316151724503</v>
      </c>
      <c r="AC15" s="9">
        <f t="shared" si="2"/>
        <v>0.73760000000000003</v>
      </c>
    </row>
    <row r="16" spans="2:29">
      <c r="B16" s="58">
        <v>12</v>
      </c>
      <c r="C16" s="58">
        <v>12</v>
      </c>
      <c r="D16" s="58">
        <v>10</v>
      </c>
      <c r="E16" s="81">
        <v>3.1463000000000001</v>
      </c>
      <c r="F16" s="82">
        <v>3.24</v>
      </c>
      <c r="G16" s="83">
        <v>0.69</v>
      </c>
      <c r="H16" s="56">
        <f t="shared" si="3"/>
        <v>-0.77856149315724577</v>
      </c>
      <c r="I16" s="56">
        <f t="shared" si="0"/>
        <v>0.31463000000000002</v>
      </c>
      <c r="J16" s="79"/>
      <c r="K16" s="79"/>
      <c r="L16" s="5">
        <v>12</v>
      </c>
      <c r="M16" s="5">
        <v>12</v>
      </c>
      <c r="N16" s="6">
        <v>15</v>
      </c>
      <c r="O16" s="6">
        <v>7.33</v>
      </c>
      <c r="P16" s="6">
        <v>3.24</v>
      </c>
      <c r="Q16" s="8">
        <v>0.51</v>
      </c>
      <c r="R16" s="9">
        <f t="shared" si="4"/>
        <v>-4.5341099480604705E-2</v>
      </c>
      <c r="S16" s="9">
        <f t="shared" si="1"/>
        <v>0.48866666666666669</v>
      </c>
      <c r="V16" s="5">
        <v>12</v>
      </c>
      <c r="W16" s="5">
        <v>12</v>
      </c>
      <c r="X16" s="6">
        <v>20</v>
      </c>
      <c r="Y16" s="6">
        <v>18.216000000000001</v>
      </c>
      <c r="Z16" s="6">
        <v>3.24</v>
      </c>
      <c r="AA16" s="8">
        <v>0.09</v>
      </c>
      <c r="AB16" s="9">
        <f t="shared" si="5"/>
        <v>2.3234422946036215</v>
      </c>
      <c r="AC16" s="9">
        <f t="shared" si="2"/>
        <v>0.91080000000000005</v>
      </c>
    </row>
    <row r="17" spans="2:29">
      <c r="B17" s="58">
        <v>13</v>
      </c>
      <c r="C17" s="58">
        <v>13</v>
      </c>
      <c r="D17" s="58">
        <v>10</v>
      </c>
      <c r="E17" s="81">
        <v>3.2019000000000002</v>
      </c>
      <c r="F17" s="82">
        <v>3.51</v>
      </c>
      <c r="G17" s="83">
        <v>0.68</v>
      </c>
      <c r="H17" s="56">
        <f t="shared" si="3"/>
        <v>-0.75289877776872316</v>
      </c>
      <c r="I17" s="56">
        <f t="shared" si="0"/>
        <v>0.32019000000000003</v>
      </c>
      <c r="J17" s="79"/>
      <c r="K17" s="79"/>
      <c r="L17" s="5">
        <v>13</v>
      </c>
      <c r="M17" s="5">
        <v>13</v>
      </c>
      <c r="N17" s="6">
        <v>15</v>
      </c>
      <c r="O17" s="6">
        <v>8.7959999999999994</v>
      </c>
      <c r="P17" s="6">
        <v>3.51</v>
      </c>
      <c r="Q17" s="8">
        <v>0.41</v>
      </c>
      <c r="R17" s="9">
        <f t="shared" si="4"/>
        <v>0.34910282737822218</v>
      </c>
      <c r="S17" s="9">
        <f t="shared" si="1"/>
        <v>0.58639999999999992</v>
      </c>
      <c r="V17" s="5">
        <v>13</v>
      </c>
      <c r="W17" s="5">
        <v>13</v>
      </c>
      <c r="X17" s="6">
        <v>20</v>
      </c>
      <c r="Y17" s="6">
        <v>18.957000000000001</v>
      </c>
      <c r="Z17" s="6">
        <v>3.51</v>
      </c>
      <c r="AA17" s="8">
        <v>0.05</v>
      </c>
      <c r="AB17" s="9">
        <f t="shared" si="5"/>
        <v>2.9000720804407933</v>
      </c>
      <c r="AC17" s="9">
        <f t="shared" si="2"/>
        <v>0.94785000000000008</v>
      </c>
    </row>
    <row r="18" spans="2:29">
      <c r="B18" s="58">
        <v>14</v>
      </c>
      <c r="C18" s="58">
        <v>14</v>
      </c>
      <c r="D18" s="58">
        <v>10</v>
      </c>
      <c r="E18" s="81">
        <v>5.1916000000000002</v>
      </c>
      <c r="F18" s="82">
        <v>3.78</v>
      </c>
      <c r="G18" s="83">
        <v>0.48</v>
      </c>
      <c r="H18" s="56">
        <f t="shared" si="3"/>
        <v>7.6677546383504713E-2</v>
      </c>
      <c r="I18" s="56">
        <f t="shared" si="0"/>
        <v>0.51916000000000007</v>
      </c>
      <c r="J18" s="79"/>
      <c r="K18" s="79"/>
      <c r="L18" s="5">
        <v>14</v>
      </c>
      <c r="M18" s="5">
        <v>14</v>
      </c>
      <c r="N18" s="6">
        <v>15</v>
      </c>
      <c r="O18" s="6">
        <v>11.064</v>
      </c>
      <c r="P18" s="6">
        <v>3.78</v>
      </c>
      <c r="Q18" s="8">
        <v>0.26</v>
      </c>
      <c r="R18" s="9">
        <f t="shared" si="4"/>
        <v>1.0335316151724501</v>
      </c>
      <c r="S18" s="9">
        <f t="shared" si="1"/>
        <v>0.73760000000000003</v>
      </c>
      <c r="V18" s="15">
        <v>14</v>
      </c>
      <c r="W18" s="15">
        <v>14</v>
      </c>
      <c r="X18" s="16">
        <v>20</v>
      </c>
      <c r="Y18" s="16">
        <v>19.175000000000001</v>
      </c>
      <c r="Z18" s="16">
        <v>3.78</v>
      </c>
      <c r="AA18" s="18">
        <v>0.04</v>
      </c>
      <c r="AB18" s="9">
        <f t="shared" si="5"/>
        <v>3.1459792399007767</v>
      </c>
      <c r="AC18" s="9">
        <f t="shared" si="2"/>
        <v>0.95874999999999999</v>
      </c>
    </row>
    <row r="19" spans="2:29">
      <c r="B19" s="58">
        <v>15</v>
      </c>
      <c r="C19" s="58">
        <v>15</v>
      </c>
      <c r="D19" s="58">
        <v>10</v>
      </c>
      <c r="E19" s="81">
        <v>6.1933999999999996</v>
      </c>
      <c r="F19" s="82">
        <v>4.05</v>
      </c>
      <c r="G19" s="83">
        <v>0.38</v>
      </c>
      <c r="H19" s="56">
        <f t="shared" si="3"/>
        <v>0.48674780665074968</v>
      </c>
      <c r="I19" s="56">
        <f t="shared" si="0"/>
        <v>0.61934</v>
      </c>
      <c r="J19" s="79"/>
      <c r="K19" s="79"/>
      <c r="L19" s="5">
        <v>15</v>
      </c>
      <c r="M19" s="5">
        <v>15</v>
      </c>
      <c r="N19" s="6">
        <v>15</v>
      </c>
      <c r="O19" s="6">
        <v>13.662000000000001</v>
      </c>
      <c r="P19" s="6">
        <v>4.05</v>
      </c>
      <c r="Q19" s="8">
        <v>0.09</v>
      </c>
      <c r="R19" s="9">
        <f t="shared" si="4"/>
        <v>2.3234422946036215</v>
      </c>
      <c r="S19" s="9">
        <f t="shared" si="1"/>
        <v>0.91080000000000005</v>
      </c>
      <c r="V19" s="47" t="s">
        <v>12</v>
      </c>
      <c r="W19" s="46"/>
      <c r="X19" s="46"/>
      <c r="Y19" s="46"/>
      <c r="Z19" s="46"/>
      <c r="AA19" s="46"/>
      <c r="AB19" s="32"/>
      <c r="AC19" s="32"/>
    </row>
    <row r="20" spans="2:29">
      <c r="B20" s="58">
        <v>16</v>
      </c>
      <c r="C20" s="58">
        <v>16</v>
      </c>
      <c r="D20" s="58">
        <v>10</v>
      </c>
      <c r="E20" s="81">
        <v>6.9031000000000002</v>
      </c>
      <c r="F20" s="82">
        <v>4.32</v>
      </c>
      <c r="G20" s="83">
        <v>0.31</v>
      </c>
      <c r="H20" s="56">
        <f t="shared" si="3"/>
        <v>0.80156897491405832</v>
      </c>
      <c r="I20" s="56">
        <f t="shared" si="0"/>
        <v>0.69030999999999998</v>
      </c>
      <c r="J20" s="79"/>
      <c r="K20" s="79"/>
      <c r="L20" s="5">
        <v>16</v>
      </c>
      <c r="M20" s="5">
        <v>16</v>
      </c>
      <c r="N20" s="6">
        <v>15</v>
      </c>
      <c r="O20" s="6">
        <v>14.218</v>
      </c>
      <c r="P20" s="6">
        <v>4.32</v>
      </c>
      <c r="Q20" s="8">
        <v>0.05</v>
      </c>
      <c r="R20" s="9">
        <f t="shared" si="4"/>
        <v>2.9004093059441174</v>
      </c>
      <c r="S20" s="9">
        <f t="shared" si="1"/>
        <v>0.94786666666666664</v>
      </c>
      <c r="V20" s="48" t="s">
        <v>13</v>
      </c>
      <c r="W20" s="46"/>
      <c r="X20" s="46"/>
      <c r="Y20" s="46"/>
      <c r="Z20" s="46"/>
      <c r="AA20" s="46"/>
      <c r="AB20" s="32"/>
      <c r="AC20" s="32"/>
    </row>
    <row r="21" spans="2:29">
      <c r="B21" s="58">
        <v>17</v>
      </c>
      <c r="C21" s="58">
        <v>17</v>
      </c>
      <c r="D21" s="58">
        <v>10</v>
      </c>
      <c r="E21" s="81">
        <v>8.0997000000000003</v>
      </c>
      <c r="F21" s="82">
        <v>4.59</v>
      </c>
      <c r="G21" s="83">
        <v>0.19</v>
      </c>
      <c r="H21" s="56">
        <f t="shared" si="3"/>
        <v>1.4498152555102932</v>
      </c>
      <c r="I21" s="56">
        <f t="shared" si="0"/>
        <v>0.80997000000000008</v>
      </c>
      <c r="J21" s="79"/>
      <c r="K21" s="79"/>
      <c r="L21" s="5">
        <v>17</v>
      </c>
      <c r="M21" s="5">
        <v>17</v>
      </c>
      <c r="N21" s="6">
        <v>15</v>
      </c>
      <c r="O21" s="6">
        <v>14.055999999999999</v>
      </c>
      <c r="P21" s="6">
        <v>4.59</v>
      </c>
      <c r="Q21" s="8">
        <v>0.06</v>
      </c>
      <c r="R21" s="9">
        <f t="shared" si="4"/>
        <v>2.7006784637214314</v>
      </c>
      <c r="S21" s="9">
        <f t="shared" si="1"/>
        <v>0.9370666666666666</v>
      </c>
    </row>
    <row r="22" spans="2:29">
      <c r="B22" s="58">
        <v>18</v>
      </c>
      <c r="C22" s="58">
        <v>18</v>
      </c>
      <c r="D22" s="58">
        <v>10</v>
      </c>
      <c r="E22" s="81">
        <v>8.5449000000000002</v>
      </c>
      <c r="F22" s="82">
        <v>4.8600000000000003</v>
      </c>
      <c r="G22" s="83">
        <v>0.15</v>
      </c>
      <c r="H22" s="56">
        <f t="shared" si="3"/>
        <v>1.7702599869648343</v>
      </c>
      <c r="I22" s="56">
        <f t="shared" si="0"/>
        <v>0.85448999999999997</v>
      </c>
      <c r="J22" s="79"/>
      <c r="K22" s="79"/>
      <c r="L22" s="15">
        <v>18</v>
      </c>
      <c r="M22" s="15">
        <v>18</v>
      </c>
      <c r="N22" s="16">
        <v>15</v>
      </c>
      <c r="O22" s="16">
        <v>14.381</v>
      </c>
      <c r="P22" s="16">
        <v>4.8600000000000003</v>
      </c>
      <c r="Q22" s="18">
        <v>0.04</v>
      </c>
      <c r="R22" s="9">
        <f t="shared" si="4"/>
        <v>3.1455578972017841</v>
      </c>
      <c r="S22" s="9">
        <f t="shared" si="1"/>
        <v>0.95873333333333333</v>
      </c>
    </row>
    <row r="23" spans="2:29">
      <c r="B23" s="58">
        <v>19</v>
      </c>
      <c r="C23" s="58">
        <v>19</v>
      </c>
      <c r="D23" s="58">
        <v>10</v>
      </c>
      <c r="E23" s="81">
        <v>9.5189000000000004</v>
      </c>
      <c r="F23" s="82">
        <v>5.13</v>
      </c>
      <c r="G23" s="83">
        <v>0.05</v>
      </c>
      <c r="H23" s="56">
        <f t="shared" si="3"/>
        <v>2.9849594261855379</v>
      </c>
      <c r="I23" s="56">
        <f t="shared" si="0"/>
        <v>0.95189000000000001</v>
      </c>
      <c r="J23" s="79"/>
      <c r="K23" s="79"/>
      <c r="L23" s="47" t="s">
        <v>12</v>
      </c>
      <c r="M23" s="46"/>
      <c r="N23" s="46"/>
      <c r="O23" s="46"/>
      <c r="P23" s="46"/>
      <c r="Q23" s="46"/>
      <c r="R23" s="32"/>
      <c r="S23" s="32"/>
    </row>
    <row r="24" spans="2:29">
      <c r="B24" s="58">
        <v>20</v>
      </c>
      <c r="C24" s="58">
        <v>20</v>
      </c>
      <c r="D24" s="58">
        <v>10</v>
      </c>
      <c r="E24" s="81">
        <v>9.6023999999999994</v>
      </c>
      <c r="F24" s="82">
        <v>5.4</v>
      </c>
      <c r="G24" s="83">
        <v>0.04</v>
      </c>
      <c r="H24" s="56">
        <f t="shared" si="3"/>
        <v>3.1843218714287143</v>
      </c>
      <c r="I24" s="56">
        <f t="shared" si="0"/>
        <v>0.96023999999999998</v>
      </c>
      <c r="J24" s="79"/>
      <c r="K24" s="79"/>
      <c r="L24" s="48" t="s">
        <v>13</v>
      </c>
      <c r="M24" s="46"/>
      <c r="N24" s="46"/>
      <c r="O24" s="46"/>
      <c r="P24" s="46"/>
      <c r="Q24" s="46"/>
      <c r="R24" s="32"/>
      <c r="S24" s="32"/>
    </row>
    <row r="25" spans="2:29">
      <c r="B25" s="58">
        <v>21</v>
      </c>
      <c r="C25" s="58">
        <v>21</v>
      </c>
      <c r="D25" s="58">
        <v>10</v>
      </c>
      <c r="E25" s="81">
        <v>9.2545000000000002</v>
      </c>
      <c r="F25" s="82">
        <v>5.67</v>
      </c>
      <c r="G25" s="83">
        <v>7.0000000000000007E-2</v>
      </c>
      <c r="H25" s="56">
        <f t="shared" si="3"/>
        <v>2.5188100644919786</v>
      </c>
      <c r="I25" s="56">
        <f t="shared" si="0"/>
        <v>0.92544999999999999</v>
      </c>
      <c r="J25" s="79"/>
      <c r="K25" s="79"/>
      <c r="L25" s="79"/>
      <c r="M25" s="79"/>
      <c r="N25" s="79"/>
      <c r="O25" s="79"/>
      <c r="P25" s="79"/>
    </row>
    <row r="26" spans="2:29">
      <c r="B26" s="89">
        <v>22</v>
      </c>
      <c r="C26" s="89">
        <v>22</v>
      </c>
      <c r="D26" s="89">
        <v>10</v>
      </c>
      <c r="E26" s="90">
        <v>9.4910999999999994</v>
      </c>
      <c r="F26" s="91">
        <v>5.94</v>
      </c>
      <c r="G26" s="92">
        <v>0.05</v>
      </c>
      <c r="H26" s="62">
        <f t="shared" si="3"/>
        <v>2.9258582627777425</v>
      </c>
      <c r="I26" s="93">
        <f t="shared" si="0"/>
        <v>0.9491099999999999</v>
      </c>
      <c r="J26" s="79"/>
      <c r="K26" s="79"/>
      <c r="L26" s="79"/>
      <c r="M26" s="79"/>
      <c r="N26" s="79"/>
      <c r="O26" s="79"/>
      <c r="P26" s="79"/>
    </row>
    <row r="27" spans="2:29">
      <c r="B27" s="94" t="s">
        <v>12</v>
      </c>
      <c r="C27" s="96"/>
      <c r="D27" s="96"/>
      <c r="E27" s="96"/>
      <c r="F27" s="96"/>
      <c r="G27" s="96"/>
      <c r="H27" s="79"/>
      <c r="I27" s="79"/>
      <c r="J27" s="79"/>
      <c r="K27" s="79"/>
      <c r="L27" s="79"/>
      <c r="M27" s="79"/>
      <c r="N27" s="79"/>
      <c r="O27" s="79"/>
      <c r="P27" s="79"/>
    </row>
    <row r="28" spans="2:29">
      <c r="B28" s="95" t="s">
        <v>13</v>
      </c>
      <c r="C28" s="96"/>
      <c r="D28" s="96"/>
      <c r="E28" s="96"/>
      <c r="F28" s="96"/>
      <c r="G28" s="96"/>
      <c r="H28" s="79"/>
      <c r="I28" s="79"/>
      <c r="J28" s="79"/>
      <c r="K28" s="79"/>
      <c r="L28" s="79"/>
      <c r="M28" s="79"/>
      <c r="N28" s="79"/>
      <c r="O28" s="79"/>
      <c r="P28" s="79"/>
    </row>
    <row r="47" spans="2:25">
      <c r="B47" s="97" t="s">
        <v>50</v>
      </c>
      <c r="C47" s="97"/>
      <c r="D47" s="97"/>
      <c r="E47" s="97"/>
      <c r="L47" s="97" t="s">
        <v>63</v>
      </c>
      <c r="M47" s="97"/>
      <c r="N47" s="97"/>
      <c r="O47" s="97"/>
      <c r="V47" s="97" t="s">
        <v>64</v>
      </c>
      <c r="W47" s="97"/>
      <c r="X47" s="97"/>
      <c r="Y47" s="97"/>
    </row>
    <row r="48" spans="2:25" ht="41.4">
      <c r="B48" s="98" t="s">
        <v>54</v>
      </c>
      <c r="C48" s="99" t="s">
        <v>53</v>
      </c>
      <c r="D48" s="98">
        <f>C17*F17</f>
        <v>45.629999999999995</v>
      </c>
      <c r="E48" s="98" t="s">
        <v>52</v>
      </c>
      <c r="L48" s="98" t="s">
        <v>54</v>
      </c>
      <c r="M48" s="99" t="s">
        <v>53</v>
      </c>
      <c r="N48" s="98">
        <f>M15*P15</f>
        <v>32.67</v>
      </c>
      <c r="O48" s="98" t="s">
        <v>52</v>
      </c>
      <c r="V48" s="98" t="s">
        <v>54</v>
      </c>
      <c r="W48" s="99" t="s">
        <v>53</v>
      </c>
      <c r="X48" s="98">
        <f>W12*Z12</f>
        <v>17.28</v>
      </c>
      <c r="Y48" s="98" t="s">
        <v>52</v>
      </c>
    </row>
    <row r="49" spans="2:25">
      <c r="B49" s="98" t="s">
        <v>55</v>
      </c>
      <c r="C49" s="98" t="s">
        <v>61</v>
      </c>
      <c r="D49" s="98">
        <f>SUM(E5:E17)*1/D5</f>
        <v>1.57195</v>
      </c>
      <c r="E49" s="98" t="s">
        <v>52</v>
      </c>
      <c r="L49" s="98" t="s">
        <v>55</v>
      </c>
      <c r="M49" s="98" t="s">
        <v>61</v>
      </c>
      <c r="N49" s="104">
        <f>SUM(O5:O15)*1/N5</f>
        <v>1.4899333333333333</v>
      </c>
      <c r="O49" s="98" t="s">
        <v>52</v>
      </c>
      <c r="V49" s="98" t="s">
        <v>55</v>
      </c>
      <c r="W49" s="98" t="s">
        <v>61</v>
      </c>
      <c r="X49" s="104">
        <f>SUM(Y5:Y12)*1/X5</f>
        <v>1.0050000000000001</v>
      </c>
      <c r="Y49" s="98" t="s">
        <v>52</v>
      </c>
    </row>
    <row r="50" spans="2:25">
      <c r="B50" s="98" t="s">
        <v>56</v>
      </c>
      <c r="C50" s="98" t="s">
        <v>57</v>
      </c>
      <c r="D50" s="104">
        <f>D48-D49</f>
        <v>44.058049999999994</v>
      </c>
      <c r="E50" s="98" t="s">
        <v>52</v>
      </c>
      <c r="L50" s="98" t="s">
        <v>56</v>
      </c>
      <c r="M50" s="98" t="s">
        <v>57</v>
      </c>
      <c r="N50" s="104">
        <f>N48-N49</f>
        <v>31.180066666666669</v>
      </c>
      <c r="O50" s="98" t="s">
        <v>52</v>
      </c>
      <c r="V50" s="98" t="s">
        <v>56</v>
      </c>
      <c r="W50" s="98" t="s">
        <v>57</v>
      </c>
      <c r="X50" s="104">
        <f>X48-X49</f>
        <v>16.275000000000002</v>
      </c>
      <c r="Y50" s="98" t="s">
        <v>52</v>
      </c>
    </row>
    <row r="51" spans="2:25">
      <c r="B51" s="98" t="s">
        <v>58</v>
      </c>
      <c r="C51" s="98" t="s">
        <v>60</v>
      </c>
      <c r="D51" s="104">
        <f>D50*F5</f>
        <v>11.895673499999999</v>
      </c>
      <c r="E51" s="98" t="s">
        <v>52</v>
      </c>
      <c r="L51" s="98" t="s">
        <v>58</v>
      </c>
      <c r="M51" s="98" t="s">
        <v>60</v>
      </c>
      <c r="N51" s="103">
        <f>N50*P5</f>
        <v>8.4186180000000004</v>
      </c>
      <c r="O51" s="98" t="s">
        <v>52</v>
      </c>
      <c r="V51" s="98" t="s">
        <v>58</v>
      </c>
      <c r="W51" s="98" t="s">
        <v>60</v>
      </c>
      <c r="X51" s="103">
        <f>X50*Z5</f>
        <v>4.3942500000000004</v>
      </c>
      <c r="Y51" s="98" t="s">
        <v>52</v>
      </c>
    </row>
    <row r="52" spans="2:25">
      <c r="B52" s="98" t="s">
        <v>59</v>
      </c>
      <c r="C52" s="98" t="s">
        <v>62</v>
      </c>
      <c r="D52" s="100">
        <f>(D51/(D5*F5*C17))</f>
        <v>0.3389080769230769</v>
      </c>
      <c r="E52" s="98" t="s">
        <v>11</v>
      </c>
      <c r="L52" s="98" t="s">
        <v>59</v>
      </c>
      <c r="M52" s="98" t="s">
        <v>62</v>
      </c>
      <c r="N52" s="100">
        <f>(N51/(N5*P5*M15))</f>
        <v>0.18897010101010098</v>
      </c>
      <c r="O52" s="98" t="s">
        <v>11</v>
      </c>
      <c r="V52" s="98" t="s">
        <v>59</v>
      </c>
      <c r="W52" s="98" t="s">
        <v>62</v>
      </c>
      <c r="X52" s="100">
        <f>(X51/(X5*Z5*W12))</f>
        <v>0.10171875</v>
      </c>
      <c r="Y52" s="98" t="s">
        <v>11</v>
      </c>
    </row>
  </sheetData>
  <mergeCells count="12">
    <mergeCell ref="V2:AC2"/>
    <mergeCell ref="V19:AA19"/>
    <mergeCell ref="V20:AA20"/>
    <mergeCell ref="L47:O47"/>
    <mergeCell ref="V47:Y47"/>
    <mergeCell ref="B27:G27"/>
    <mergeCell ref="B28:G28"/>
    <mergeCell ref="B47:E47"/>
    <mergeCell ref="B2:I2"/>
    <mergeCell ref="L2:S2"/>
    <mergeCell ref="L23:Q23"/>
    <mergeCell ref="L24:Q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Adams Bohart</vt:lpstr>
      <vt:lpstr>Yoon-Nelson</vt:lpstr>
      <vt:lpstr>Thomas</vt:lpstr>
      <vt:lpstr>Kurva Breaktrough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FARIDH</dc:creator>
  <cp:lastModifiedBy>FARIDH</cp:lastModifiedBy>
  <dcterms:created xsi:type="dcterms:W3CDTF">2025-11-11T18:22:49Z</dcterms:created>
  <dcterms:modified xsi:type="dcterms:W3CDTF">2025-11-12T16:23:03Z</dcterms:modified>
</cp:coreProperties>
</file>